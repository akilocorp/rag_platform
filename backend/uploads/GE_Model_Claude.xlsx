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nat\Downloads\"/>
    </mc:Choice>
  </mc:AlternateContent>
  <xr:revisionPtr revIDLastSave="0" documentId="8_{8C67CB09-A88C-4C9E-A1AC-CCE5B083FBCD}" xr6:coauthVersionLast="47" xr6:coauthVersionMax="47" xr10:uidLastSave="{00000000-0000-0000-0000-000000000000}"/>
  <bookViews>
    <workbookView xWindow="-108" yWindow="-108" windowWidth="23256" windowHeight="12456" firstSheet="1" activeTab="2" xr2:uid="{702C90F0-3D8B-4784-A1BE-B4D0F7305AEC}"/>
  </bookViews>
  <sheets>
    <sheet name="Assumptions" sheetId="2" r:id="rId1"/>
    <sheet name="Demand - Developed" sheetId="3" r:id="rId2"/>
    <sheet name="Demand - Emerging" sheetId="4" r:id="rId3"/>
    <sheet name="Supply &amp; Utilization" sheetId="5" r:id="rId4"/>
    <sheet name="GE FINANCIALS — DEVELOPED MARKE" sheetId="6" r:id="rId5"/>
    <sheet name="GE Financials - Emerging" sheetId="7" r:id="rId6"/>
    <sheet name="NPV &amp; Dashboard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6" l="1"/>
  <c r="D11" i="8"/>
  <c r="D12" i="8" s="1"/>
  <c r="E11" i="8"/>
  <c r="E12" i="8" s="1"/>
  <c r="F11" i="8"/>
  <c r="F12" i="8" s="1"/>
  <c r="G11" i="8"/>
  <c r="G12" i="8" s="1"/>
  <c r="H11" i="8"/>
  <c r="H12" i="8" s="1"/>
  <c r="I11" i="8"/>
  <c r="I12" i="8" s="1"/>
  <c r="J11" i="8"/>
  <c r="J12" i="8" s="1"/>
  <c r="K11" i="8"/>
  <c r="K12" i="8" s="1"/>
  <c r="L11" i="8"/>
  <c r="L12" i="8" s="1"/>
  <c r="M11" i="8"/>
  <c r="M12" i="8" s="1"/>
  <c r="N11" i="8"/>
  <c r="N12" i="8" s="1"/>
  <c r="O11" i="8"/>
  <c r="O12" i="8" s="1"/>
  <c r="P11" i="8"/>
  <c r="P12" i="8" s="1"/>
  <c r="Q11" i="8"/>
  <c r="Q12" i="8" s="1"/>
  <c r="R11" i="8"/>
  <c r="R12" i="8" s="1"/>
  <c r="C11" i="8"/>
  <c r="C12" i="8" s="1"/>
  <c r="C36" i="7"/>
  <c r="C35" i="7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D23" i="5"/>
  <c r="C23" i="5"/>
  <c r="E22" i="5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D22" i="5"/>
  <c r="C22" i="5"/>
  <c r="E21" i="5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D21" i="5"/>
  <c r="C21" i="5"/>
  <c r="E20" i="5"/>
  <c r="D20" i="5"/>
  <c r="C20" i="5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D16" i="5"/>
  <c r="C16" i="5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D15" i="5"/>
  <c r="C15" i="5"/>
  <c r="E14" i="5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D14" i="5"/>
  <c r="C14" i="5"/>
  <c r="E13" i="5"/>
  <c r="D13" i="5"/>
  <c r="C13" i="5"/>
  <c r="E9" i="5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D9" i="5"/>
  <c r="C9" i="5"/>
  <c r="E8" i="5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D8" i="5"/>
  <c r="C8" i="5"/>
  <c r="E7" i="5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D7" i="5"/>
  <c r="C7" i="5"/>
  <c r="E6" i="5"/>
  <c r="F6" i="5" s="1"/>
  <c r="D6" i="5"/>
  <c r="C6" i="5"/>
  <c r="C42" i="4"/>
  <c r="C43" i="4" s="1"/>
  <c r="C44" i="4" s="1"/>
  <c r="C60" i="4" s="1"/>
  <c r="C33" i="4"/>
  <c r="C34" i="4" s="1"/>
  <c r="C24" i="4"/>
  <c r="C25" i="4" s="1"/>
  <c r="C20" i="4"/>
  <c r="D20" i="4" s="1"/>
  <c r="E20" i="4" s="1"/>
  <c r="C19" i="4"/>
  <c r="C18" i="4"/>
  <c r="C29" i="4" s="1"/>
  <c r="C52" i="4" s="1"/>
  <c r="C15" i="4"/>
  <c r="C14" i="4"/>
  <c r="C13" i="4"/>
  <c r="D13" i="4" s="1"/>
  <c r="E13" i="4" s="1"/>
  <c r="C12" i="4"/>
  <c r="D12" i="4" s="1"/>
  <c r="C11" i="4"/>
  <c r="C42" i="3"/>
  <c r="C43" i="3" s="1"/>
  <c r="C44" i="3" s="1"/>
  <c r="C60" i="3" s="1"/>
  <c r="C33" i="3"/>
  <c r="C34" i="3" s="1"/>
  <c r="C24" i="3"/>
  <c r="C25" i="3" s="1"/>
  <c r="C20" i="3"/>
  <c r="D20" i="3" s="1"/>
  <c r="C19" i="3"/>
  <c r="C18" i="3"/>
  <c r="C29" i="3" s="1"/>
  <c r="C52" i="3" s="1"/>
  <c r="C15" i="3"/>
  <c r="D15" i="3" s="1"/>
  <c r="E15" i="3" s="1"/>
  <c r="F15" i="3" s="1"/>
  <c r="G15" i="3" s="1"/>
  <c r="G14" i="3" s="1"/>
  <c r="C14" i="3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C12" i="3"/>
  <c r="D12" i="3" s="1"/>
  <c r="C11" i="3"/>
  <c r="C8" i="3"/>
  <c r="C7" i="3"/>
  <c r="D7" i="3" s="1"/>
  <c r="E7" i="3" s="1"/>
  <c r="C6" i="3"/>
  <c r="D6" i="3" s="1"/>
  <c r="E6" i="3" s="1"/>
  <c r="F6" i="3" s="1"/>
  <c r="G6" i="3" s="1"/>
  <c r="H6" i="3" s="1"/>
  <c r="I6" i="3" s="1"/>
  <c r="J6" i="3" s="1"/>
  <c r="F70" i="2"/>
  <c r="E70" i="2"/>
  <c r="D70" i="2"/>
  <c r="C70" i="2"/>
  <c r="F64" i="2"/>
  <c r="E64" i="2"/>
  <c r="D64" i="2"/>
  <c r="C64" i="2"/>
  <c r="F58" i="2"/>
  <c r="E58" i="2"/>
  <c r="D58" i="2"/>
  <c r="C58" i="2"/>
  <c r="D12" i="2"/>
  <c r="C12" i="2"/>
  <c r="D11" i="2"/>
  <c r="C11" i="2"/>
  <c r="D10" i="2"/>
  <c r="C10" i="2"/>
  <c r="C24" i="5" l="1"/>
  <c r="C47" i="4"/>
  <c r="C63" i="4" s="1"/>
  <c r="D11" i="4"/>
  <c r="K6" i="3"/>
  <c r="L6" i="3" s="1"/>
  <c r="J6" i="4"/>
  <c r="E6" i="4"/>
  <c r="E24" i="5"/>
  <c r="E41" i="5" s="1"/>
  <c r="F7" i="3"/>
  <c r="G7" i="3" s="1"/>
  <c r="E7" i="4"/>
  <c r="H6" i="4"/>
  <c r="G6" i="5"/>
  <c r="G10" i="5" s="1"/>
  <c r="F20" i="5"/>
  <c r="F24" i="5" s="1"/>
  <c r="F6" i="4"/>
  <c r="D10" i="5"/>
  <c r="D39" i="5" s="1"/>
  <c r="F13" i="5"/>
  <c r="E10" i="5"/>
  <c r="E39" i="5" s="1"/>
  <c r="C37" i="7"/>
  <c r="C28" i="4"/>
  <c r="C45" i="4" s="1"/>
  <c r="C61" i="4" s="1"/>
  <c r="C27" i="4"/>
  <c r="C37" i="4" s="1"/>
  <c r="C56" i="4" s="1"/>
  <c r="C36" i="4"/>
  <c r="C46" i="4" s="1"/>
  <c r="C62" i="4" s="1"/>
  <c r="D15" i="4"/>
  <c r="E15" i="4" s="1"/>
  <c r="C17" i="5"/>
  <c r="F17" i="5"/>
  <c r="C41" i="5"/>
  <c r="E17" i="5"/>
  <c r="C10" i="5"/>
  <c r="F10" i="5"/>
  <c r="C47" i="3"/>
  <c r="C63" i="3" s="1"/>
  <c r="D17" i="5"/>
  <c r="D24" i="5"/>
  <c r="C6" i="4"/>
  <c r="I6" i="4"/>
  <c r="D6" i="4"/>
  <c r="E12" i="4"/>
  <c r="F12" i="4" s="1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C36" i="3"/>
  <c r="C46" i="3" s="1"/>
  <c r="C62" i="3" s="1"/>
  <c r="C35" i="3"/>
  <c r="C55" i="3" s="1"/>
  <c r="G12" i="4"/>
  <c r="F20" i="4"/>
  <c r="E47" i="4"/>
  <c r="E63" i="4" s="1"/>
  <c r="D47" i="4"/>
  <c r="D63" i="4" s="1"/>
  <c r="D7" i="4"/>
  <c r="C38" i="4"/>
  <c r="C57" i="4" s="1"/>
  <c r="D19" i="4"/>
  <c r="D8" i="3"/>
  <c r="C8" i="4"/>
  <c r="C7" i="4"/>
  <c r="C26" i="4"/>
  <c r="C51" i="4" s="1"/>
  <c r="C53" i="4" s="1"/>
  <c r="C35" i="4"/>
  <c r="C55" i="4" s="1"/>
  <c r="G6" i="4"/>
  <c r="E12" i="3"/>
  <c r="D11" i="3"/>
  <c r="C27" i="3"/>
  <c r="C37" i="3" s="1"/>
  <c r="C56" i="3" s="1"/>
  <c r="C28" i="3"/>
  <c r="C45" i="3" s="1"/>
  <c r="C26" i="3"/>
  <c r="C51" i="3" s="1"/>
  <c r="C53" i="3" s="1"/>
  <c r="D19" i="3"/>
  <c r="C38" i="3"/>
  <c r="C57" i="3" s="1"/>
  <c r="F14" i="3"/>
  <c r="E14" i="3"/>
  <c r="H15" i="3"/>
  <c r="E20" i="3"/>
  <c r="D47" i="3"/>
  <c r="D63" i="3" s="1"/>
  <c r="D14" i="3"/>
  <c r="F7" i="4" l="1"/>
  <c r="F11" i="4"/>
  <c r="H6" i="5"/>
  <c r="C64" i="4"/>
  <c r="C58" i="4"/>
  <c r="K6" i="4"/>
  <c r="G13" i="5"/>
  <c r="C30" i="3"/>
  <c r="D24" i="3" s="1"/>
  <c r="D25" i="3" s="1"/>
  <c r="G20" i="5"/>
  <c r="M6" i="3"/>
  <c r="L6" i="4"/>
  <c r="D40" i="5"/>
  <c r="C58" i="3"/>
  <c r="C28" i="5" s="1"/>
  <c r="C34" i="5" s="1"/>
  <c r="C20" i="6" s="1"/>
  <c r="C20" i="7" s="1"/>
  <c r="D14" i="4"/>
  <c r="G39" i="5"/>
  <c r="F41" i="5"/>
  <c r="F39" i="5"/>
  <c r="E40" i="5"/>
  <c r="I6" i="5"/>
  <c r="H10" i="5"/>
  <c r="F40" i="5"/>
  <c r="C27" i="5"/>
  <c r="C48" i="4"/>
  <c r="D42" i="4" s="1"/>
  <c r="D43" i="4" s="1"/>
  <c r="D44" i="4" s="1"/>
  <c r="D60" i="4" s="1"/>
  <c r="E11" i="4"/>
  <c r="D41" i="5"/>
  <c r="C39" i="5"/>
  <c r="C40" i="5"/>
  <c r="C39" i="3"/>
  <c r="D33" i="3" s="1"/>
  <c r="D34" i="3" s="1"/>
  <c r="E8" i="3"/>
  <c r="D8" i="4"/>
  <c r="F47" i="4"/>
  <c r="F63" i="4" s="1"/>
  <c r="G20" i="4"/>
  <c r="C39" i="4"/>
  <c r="D33" i="4" s="1"/>
  <c r="D38" i="4"/>
  <c r="D57" i="4" s="1"/>
  <c r="E19" i="4"/>
  <c r="D18" i="4"/>
  <c r="D29" i="4" s="1"/>
  <c r="D52" i="4" s="1"/>
  <c r="H7" i="3"/>
  <c r="G7" i="4"/>
  <c r="H12" i="4"/>
  <c r="G11" i="4"/>
  <c r="C30" i="4"/>
  <c r="D24" i="4" s="1"/>
  <c r="F15" i="4"/>
  <c r="E14" i="4"/>
  <c r="D38" i="3"/>
  <c r="D57" i="3" s="1"/>
  <c r="E19" i="3"/>
  <c r="D18" i="3"/>
  <c r="D29" i="3" s="1"/>
  <c r="D52" i="3" s="1"/>
  <c r="F20" i="3"/>
  <c r="E47" i="3"/>
  <c r="E63" i="3" s="1"/>
  <c r="F12" i="3"/>
  <c r="E11" i="3"/>
  <c r="H14" i="3"/>
  <c r="I15" i="3"/>
  <c r="C61" i="3"/>
  <c r="C64" i="3" s="1"/>
  <c r="C48" i="3"/>
  <c r="D42" i="3" s="1"/>
  <c r="C66" i="4" l="1"/>
  <c r="N6" i="3"/>
  <c r="M6" i="4"/>
  <c r="H20" i="5"/>
  <c r="G24" i="5"/>
  <c r="G41" i="5" s="1"/>
  <c r="G17" i="5"/>
  <c r="G40" i="5" s="1"/>
  <c r="H13" i="5"/>
  <c r="C66" i="3"/>
  <c r="C29" i="5"/>
  <c r="C30" i="5" s="1"/>
  <c r="C36" i="5" s="1"/>
  <c r="H39" i="5"/>
  <c r="C44" i="5"/>
  <c r="I10" i="5"/>
  <c r="J6" i="5"/>
  <c r="C33" i="5"/>
  <c r="C19" i="6" s="1"/>
  <c r="C19" i="7" s="1"/>
  <c r="C45" i="5"/>
  <c r="H11" i="4"/>
  <c r="I12" i="4"/>
  <c r="E38" i="4"/>
  <c r="E57" i="4" s="1"/>
  <c r="F19" i="4"/>
  <c r="E18" i="4"/>
  <c r="E29" i="4" s="1"/>
  <c r="E52" i="4" s="1"/>
  <c r="G47" i="4"/>
  <c r="G63" i="4" s="1"/>
  <c r="H20" i="4"/>
  <c r="G15" i="4"/>
  <c r="F14" i="4"/>
  <c r="D25" i="4"/>
  <c r="I7" i="3"/>
  <c r="H7" i="4"/>
  <c r="D34" i="4"/>
  <c r="F8" i="3"/>
  <c r="E8" i="4"/>
  <c r="D43" i="3"/>
  <c r="D44" i="3" s="1"/>
  <c r="D60" i="3" s="1"/>
  <c r="G20" i="3"/>
  <c r="F47" i="3"/>
  <c r="F63" i="3" s="1"/>
  <c r="E18" i="3"/>
  <c r="E29" i="3" s="1"/>
  <c r="E52" i="3" s="1"/>
  <c r="E38" i="3"/>
  <c r="E57" i="3" s="1"/>
  <c r="F19" i="3"/>
  <c r="F11" i="3"/>
  <c r="G12" i="3"/>
  <c r="D28" i="3"/>
  <c r="D45" i="3" s="1"/>
  <c r="D61" i="3" s="1"/>
  <c r="D26" i="3"/>
  <c r="D51" i="3" s="1"/>
  <c r="D53" i="3" s="1"/>
  <c r="D27" i="3"/>
  <c r="D37" i="3" s="1"/>
  <c r="D56" i="3" s="1"/>
  <c r="J15" i="3"/>
  <c r="I14" i="3"/>
  <c r="D30" i="3"/>
  <c r="E24" i="3" s="1"/>
  <c r="D35" i="3"/>
  <c r="D55" i="3" s="1"/>
  <c r="D58" i="3" s="1"/>
  <c r="D36" i="3"/>
  <c r="D46" i="3" s="1"/>
  <c r="D62" i="3" s="1"/>
  <c r="H17" i="5" l="1"/>
  <c r="H40" i="5" s="1"/>
  <c r="I13" i="5"/>
  <c r="C6" i="6"/>
  <c r="H24" i="5"/>
  <c r="H41" i="5" s="1"/>
  <c r="I20" i="5"/>
  <c r="O6" i="3"/>
  <c r="N6" i="4"/>
  <c r="C46" i="5"/>
  <c r="C47" i="5" s="1"/>
  <c r="C35" i="5"/>
  <c r="C21" i="6" s="1"/>
  <c r="C21" i="7" s="1"/>
  <c r="J10" i="5"/>
  <c r="K6" i="5"/>
  <c r="I39" i="5"/>
  <c r="D27" i="4"/>
  <c r="D37" i="4" s="1"/>
  <c r="D56" i="4" s="1"/>
  <c r="D28" i="4"/>
  <c r="D45" i="4" s="1"/>
  <c r="D26" i="4"/>
  <c r="D51" i="4" s="1"/>
  <c r="D53" i="4" s="1"/>
  <c r="D27" i="5" s="1"/>
  <c r="H47" i="4"/>
  <c r="H63" i="4" s="1"/>
  <c r="I20" i="4"/>
  <c r="G8" i="3"/>
  <c r="F8" i="4"/>
  <c r="I11" i="4"/>
  <c r="J12" i="4"/>
  <c r="J7" i="3"/>
  <c r="I7" i="4"/>
  <c r="D39" i="3"/>
  <c r="E33" i="3" s="1"/>
  <c r="E34" i="3" s="1"/>
  <c r="D36" i="4"/>
  <c r="D46" i="4" s="1"/>
  <c r="D62" i="4" s="1"/>
  <c r="D35" i="4"/>
  <c r="D30" i="4"/>
  <c r="E24" i="4" s="1"/>
  <c r="G14" i="4"/>
  <c r="H15" i="4"/>
  <c r="F18" i="4"/>
  <c r="F29" i="4" s="1"/>
  <c r="F52" i="4" s="1"/>
  <c r="G19" i="4"/>
  <c r="F38" i="4"/>
  <c r="F57" i="4" s="1"/>
  <c r="E25" i="3"/>
  <c r="F18" i="3"/>
  <c r="F29" i="3" s="1"/>
  <c r="F52" i="3" s="1"/>
  <c r="F38" i="3"/>
  <c r="F57" i="3" s="1"/>
  <c r="G19" i="3"/>
  <c r="G47" i="3"/>
  <c r="G63" i="3" s="1"/>
  <c r="H20" i="3"/>
  <c r="D64" i="3"/>
  <c r="K15" i="3"/>
  <c r="J14" i="3"/>
  <c r="H12" i="3"/>
  <c r="G11" i="3"/>
  <c r="D48" i="3"/>
  <c r="E42" i="3" s="1"/>
  <c r="J13" i="5" l="1"/>
  <c r="I17" i="5"/>
  <c r="I40" i="5" s="1"/>
  <c r="C9" i="6"/>
  <c r="C15" i="6" s="1"/>
  <c r="C6" i="7"/>
  <c r="C9" i="7" s="1"/>
  <c r="C15" i="7" s="1"/>
  <c r="C24" i="7" s="1"/>
  <c r="C41" i="6"/>
  <c r="C29" i="6"/>
  <c r="C36" i="6"/>
  <c r="C28" i="6"/>
  <c r="C30" i="6"/>
  <c r="C35" i="6"/>
  <c r="C8" i="6"/>
  <c r="C14" i="6" s="1"/>
  <c r="P6" i="3"/>
  <c r="O6" i="4"/>
  <c r="J20" i="5"/>
  <c r="I24" i="5"/>
  <c r="I41" i="5" s="1"/>
  <c r="C7" i="6"/>
  <c r="J39" i="5"/>
  <c r="D44" i="5"/>
  <c r="D33" i="5"/>
  <c r="D19" i="6" s="1"/>
  <c r="D19" i="7" s="1"/>
  <c r="D66" i="3"/>
  <c r="L6" i="5"/>
  <c r="K10" i="5"/>
  <c r="G38" i="4"/>
  <c r="G57" i="4" s="1"/>
  <c r="H19" i="4"/>
  <c r="G18" i="4"/>
  <c r="G29" i="4" s="1"/>
  <c r="G52" i="4" s="1"/>
  <c r="E25" i="4"/>
  <c r="D55" i="4"/>
  <c r="D58" i="4" s="1"/>
  <c r="D39" i="4"/>
  <c r="E33" i="4" s="1"/>
  <c r="K7" i="3"/>
  <c r="J7" i="4"/>
  <c r="H8" i="3"/>
  <c r="G8" i="4"/>
  <c r="D61" i="4"/>
  <c r="D64" i="4" s="1"/>
  <c r="D29" i="5" s="1"/>
  <c r="D48" i="4"/>
  <c r="E42" i="4" s="1"/>
  <c r="H14" i="4"/>
  <c r="I15" i="4"/>
  <c r="J11" i="4"/>
  <c r="K12" i="4"/>
  <c r="J20" i="4"/>
  <c r="I47" i="4"/>
  <c r="I63" i="4" s="1"/>
  <c r="H11" i="3"/>
  <c r="I12" i="3"/>
  <c r="E35" i="3"/>
  <c r="E55" i="3" s="1"/>
  <c r="E36" i="3"/>
  <c r="E46" i="3" s="1"/>
  <c r="E62" i="3" s="1"/>
  <c r="G38" i="3"/>
  <c r="G57" i="3" s="1"/>
  <c r="H19" i="3"/>
  <c r="G18" i="3"/>
  <c r="G29" i="3" s="1"/>
  <c r="G52" i="3" s="1"/>
  <c r="E28" i="3"/>
  <c r="E45" i="3" s="1"/>
  <c r="E61" i="3" s="1"/>
  <c r="E26" i="3"/>
  <c r="E51" i="3" s="1"/>
  <c r="E53" i="3" s="1"/>
  <c r="E27" i="3"/>
  <c r="E37" i="3" s="1"/>
  <c r="E56" i="3" s="1"/>
  <c r="E43" i="3"/>
  <c r="E44" i="3" s="1"/>
  <c r="E60" i="3" s="1"/>
  <c r="L15" i="3"/>
  <c r="K14" i="3"/>
  <c r="H47" i="3"/>
  <c r="H63" i="3" s="1"/>
  <c r="I20" i="3"/>
  <c r="E39" i="3" l="1"/>
  <c r="F33" i="3" s="1"/>
  <c r="E58" i="3"/>
  <c r="C23" i="6"/>
  <c r="C24" i="6"/>
  <c r="C13" i="6"/>
  <c r="C10" i="6"/>
  <c r="Q6" i="3"/>
  <c r="P6" i="4"/>
  <c r="C37" i="6"/>
  <c r="K20" i="5"/>
  <c r="J24" i="5"/>
  <c r="J41" i="5" s="1"/>
  <c r="C31" i="6"/>
  <c r="C41" i="7"/>
  <c r="C28" i="7"/>
  <c r="C30" i="7"/>
  <c r="C29" i="7"/>
  <c r="C7" i="7"/>
  <c r="C8" i="7"/>
  <c r="C14" i="7" s="1"/>
  <c r="C23" i="7" s="1"/>
  <c r="K13" i="5"/>
  <c r="J17" i="5"/>
  <c r="J40" i="5" s="1"/>
  <c r="D46" i="5"/>
  <c r="D35" i="5"/>
  <c r="D21" i="6" s="1"/>
  <c r="D21" i="7" s="1"/>
  <c r="D66" i="4"/>
  <c r="D28" i="5"/>
  <c r="M6" i="5"/>
  <c r="L10" i="5"/>
  <c r="E30" i="3"/>
  <c r="F24" i="3" s="1"/>
  <c r="F25" i="3" s="1"/>
  <c r="K39" i="5"/>
  <c r="J15" i="4"/>
  <c r="I14" i="4"/>
  <c r="E34" i="4"/>
  <c r="J47" i="4"/>
  <c r="J63" i="4" s="1"/>
  <c r="K20" i="4"/>
  <c r="I8" i="3"/>
  <c r="H8" i="4"/>
  <c r="L12" i="4"/>
  <c r="K11" i="4"/>
  <c r="E43" i="4"/>
  <c r="E44" i="4" s="1"/>
  <c r="E60" i="4" s="1"/>
  <c r="H38" i="4"/>
  <c r="H57" i="4" s="1"/>
  <c r="I19" i="4"/>
  <c r="H18" i="4"/>
  <c r="H29" i="4" s="1"/>
  <c r="H52" i="4" s="1"/>
  <c r="L7" i="3"/>
  <c r="K7" i="4"/>
  <c r="E27" i="4"/>
  <c r="E37" i="4" s="1"/>
  <c r="E56" i="4" s="1"/>
  <c r="E28" i="4"/>
  <c r="E45" i="4" s="1"/>
  <c r="E61" i="4" s="1"/>
  <c r="E26" i="4"/>
  <c r="L14" i="3"/>
  <c r="M15" i="3"/>
  <c r="F34" i="3"/>
  <c r="E64" i="3"/>
  <c r="E66" i="3" s="1"/>
  <c r="H38" i="3"/>
  <c r="H57" i="3" s="1"/>
  <c r="I19" i="3"/>
  <c r="H18" i="3"/>
  <c r="H29" i="3" s="1"/>
  <c r="H52" i="3" s="1"/>
  <c r="I11" i="3"/>
  <c r="J12" i="3"/>
  <c r="J20" i="3"/>
  <c r="I47" i="3"/>
  <c r="I63" i="3" s="1"/>
  <c r="E48" i="3"/>
  <c r="F42" i="3" s="1"/>
  <c r="L13" i="5" l="1"/>
  <c r="K17" i="5"/>
  <c r="K40" i="5" s="1"/>
  <c r="C22" i="6"/>
  <c r="C25" i="6" s="1"/>
  <c r="C33" i="6" s="1"/>
  <c r="C16" i="6"/>
  <c r="C31" i="7"/>
  <c r="L20" i="5"/>
  <c r="K24" i="5"/>
  <c r="K41" i="5" s="1"/>
  <c r="C13" i="7"/>
  <c r="C10" i="7"/>
  <c r="R6" i="3"/>
  <c r="R6" i="4" s="1"/>
  <c r="Q6" i="4"/>
  <c r="L39" i="5"/>
  <c r="M10" i="5"/>
  <c r="N6" i="5"/>
  <c r="D45" i="5"/>
  <c r="D34" i="5"/>
  <c r="D20" i="6" s="1"/>
  <c r="D20" i="7" s="1"/>
  <c r="D30" i="5"/>
  <c r="I38" i="4"/>
  <c r="I57" i="4" s="1"/>
  <c r="J19" i="4"/>
  <c r="I18" i="4"/>
  <c r="I29" i="4" s="1"/>
  <c r="I52" i="4" s="1"/>
  <c r="K47" i="4"/>
  <c r="K63" i="4" s="1"/>
  <c r="L20" i="4"/>
  <c r="M12" i="4"/>
  <c r="L11" i="4"/>
  <c r="K15" i="4"/>
  <c r="J14" i="4"/>
  <c r="E51" i="4"/>
  <c r="E53" i="4" s="1"/>
  <c r="E27" i="5" s="1"/>
  <c r="E30" i="4"/>
  <c r="F24" i="4" s="1"/>
  <c r="M7" i="3"/>
  <c r="L7" i="4"/>
  <c r="E36" i="4"/>
  <c r="E46" i="4" s="1"/>
  <c r="E62" i="4" s="1"/>
  <c r="E64" i="4" s="1"/>
  <c r="E29" i="5" s="1"/>
  <c r="E35" i="4"/>
  <c r="E55" i="4" s="1"/>
  <c r="E58" i="4" s="1"/>
  <c r="E28" i="5" s="1"/>
  <c r="J8" i="3"/>
  <c r="I8" i="4"/>
  <c r="F43" i="3"/>
  <c r="F44" i="3" s="1"/>
  <c r="F60" i="3" s="1"/>
  <c r="F36" i="3"/>
  <c r="F46" i="3" s="1"/>
  <c r="F62" i="3" s="1"/>
  <c r="F35" i="3"/>
  <c r="F55" i="3" s="1"/>
  <c r="J11" i="3"/>
  <c r="K12" i="3"/>
  <c r="N15" i="3"/>
  <c r="M14" i="3"/>
  <c r="F27" i="3"/>
  <c r="F37" i="3" s="1"/>
  <c r="F56" i="3" s="1"/>
  <c r="F28" i="3"/>
  <c r="F45" i="3" s="1"/>
  <c r="F61" i="3" s="1"/>
  <c r="F26" i="3"/>
  <c r="F51" i="3" s="1"/>
  <c r="F53" i="3" s="1"/>
  <c r="J47" i="3"/>
  <c r="J63" i="3" s="1"/>
  <c r="K20" i="3"/>
  <c r="I38" i="3"/>
  <c r="I57" i="3" s="1"/>
  <c r="J19" i="3"/>
  <c r="I18" i="3"/>
  <c r="I29" i="3" s="1"/>
  <c r="I52" i="3" s="1"/>
  <c r="C39" i="6" l="1"/>
  <c r="D47" i="5"/>
  <c r="L24" i="5"/>
  <c r="L41" i="5" s="1"/>
  <c r="M20" i="5"/>
  <c r="C22" i="7"/>
  <c r="C25" i="7" s="1"/>
  <c r="C33" i="7" s="1"/>
  <c r="C16" i="7"/>
  <c r="C40" i="7" s="1"/>
  <c r="D36" i="5"/>
  <c r="D6" i="6"/>
  <c r="D8" i="6" s="1"/>
  <c r="D14" i="6" s="1"/>
  <c r="C40" i="6"/>
  <c r="L17" i="5"/>
  <c r="L40" i="5" s="1"/>
  <c r="M13" i="5"/>
  <c r="E46" i="5"/>
  <c r="E35" i="5"/>
  <c r="E21" i="6" s="1"/>
  <c r="E21" i="7" s="1"/>
  <c r="E45" i="5"/>
  <c r="E34" i="5"/>
  <c r="E20" i="6" s="1"/>
  <c r="E20" i="7" s="1"/>
  <c r="M39" i="5"/>
  <c r="E39" i="4"/>
  <c r="F33" i="4" s="1"/>
  <c r="F34" i="4" s="1"/>
  <c r="E30" i="5"/>
  <c r="E44" i="5"/>
  <c r="E33" i="5"/>
  <c r="E19" i="6" s="1"/>
  <c r="E19" i="7" s="1"/>
  <c r="N10" i="5"/>
  <c r="O6" i="5"/>
  <c r="F25" i="4"/>
  <c r="K8" i="3"/>
  <c r="J8" i="4"/>
  <c r="E66" i="4"/>
  <c r="M11" i="4"/>
  <c r="N12" i="4"/>
  <c r="J18" i="4"/>
  <c r="J29" i="4" s="1"/>
  <c r="J52" i="4" s="1"/>
  <c r="J38" i="4"/>
  <c r="J57" i="4" s="1"/>
  <c r="K19" i="4"/>
  <c r="E48" i="4"/>
  <c r="F42" i="4" s="1"/>
  <c r="M20" i="4"/>
  <c r="L47" i="4"/>
  <c r="L63" i="4" s="1"/>
  <c r="F39" i="3"/>
  <c r="G33" i="3" s="1"/>
  <c r="G34" i="3" s="1"/>
  <c r="N7" i="3"/>
  <c r="M7" i="4"/>
  <c r="L15" i="4"/>
  <c r="K14" i="4"/>
  <c r="F30" i="3"/>
  <c r="G24" i="3" s="1"/>
  <c r="F58" i="3"/>
  <c r="J18" i="3"/>
  <c r="J29" i="3" s="1"/>
  <c r="J52" i="3" s="1"/>
  <c r="J38" i="3"/>
  <c r="J57" i="3" s="1"/>
  <c r="K19" i="3"/>
  <c r="N14" i="3"/>
  <c r="O15" i="3"/>
  <c r="L12" i="3"/>
  <c r="K11" i="3"/>
  <c r="F64" i="3"/>
  <c r="K47" i="3"/>
  <c r="K63" i="3" s="1"/>
  <c r="L20" i="3"/>
  <c r="F48" i="3"/>
  <c r="G42" i="3" s="1"/>
  <c r="C43" i="6" l="1"/>
  <c r="C6" i="8" s="1"/>
  <c r="D23" i="6"/>
  <c r="E47" i="5"/>
  <c r="M24" i="5"/>
  <c r="M41" i="5" s="1"/>
  <c r="N20" i="5"/>
  <c r="E36" i="5"/>
  <c r="E6" i="6"/>
  <c r="C21" i="8"/>
  <c r="C39" i="7"/>
  <c r="C43" i="7" s="1"/>
  <c r="C7" i="8" s="1"/>
  <c r="C8" i="8" s="1"/>
  <c r="M17" i="5"/>
  <c r="M40" i="5" s="1"/>
  <c r="N13" i="5"/>
  <c r="D6" i="7"/>
  <c r="D41" i="6"/>
  <c r="D28" i="6"/>
  <c r="D29" i="6"/>
  <c r="D36" i="6"/>
  <c r="D30" i="6"/>
  <c r="D7" i="6"/>
  <c r="D9" i="6"/>
  <c r="D15" i="6" s="1"/>
  <c r="P6" i="5"/>
  <c r="O10" i="5"/>
  <c r="N39" i="5"/>
  <c r="F43" i="4"/>
  <c r="F44" i="4" s="1"/>
  <c r="F60" i="4" s="1"/>
  <c r="F35" i="4"/>
  <c r="F36" i="4"/>
  <c r="F46" i="4" s="1"/>
  <c r="F62" i="4" s="1"/>
  <c r="M47" i="4"/>
  <c r="M63" i="4" s="1"/>
  <c r="N20" i="4"/>
  <c r="L14" i="4"/>
  <c r="M15" i="4"/>
  <c r="N11" i="4"/>
  <c r="O12" i="4"/>
  <c r="L8" i="3"/>
  <c r="K8" i="4"/>
  <c r="F66" i="3"/>
  <c r="L19" i="4"/>
  <c r="K38" i="4"/>
  <c r="K57" i="4" s="1"/>
  <c r="K18" i="4"/>
  <c r="K29" i="4" s="1"/>
  <c r="K52" i="4" s="1"/>
  <c r="F28" i="4"/>
  <c r="F45" i="4" s="1"/>
  <c r="F61" i="4" s="1"/>
  <c r="F26" i="4"/>
  <c r="F51" i="4" s="1"/>
  <c r="F53" i="4" s="1"/>
  <c r="F27" i="5" s="1"/>
  <c r="F27" i="4"/>
  <c r="F37" i="4" s="1"/>
  <c r="F56" i="4" s="1"/>
  <c r="O7" i="3"/>
  <c r="N7" i="4"/>
  <c r="F30" i="4"/>
  <c r="G24" i="4" s="1"/>
  <c r="P15" i="3"/>
  <c r="O14" i="3"/>
  <c r="G43" i="3"/>
  <c r="G44" i="3" s="1"/>
  <c r="G60" i="3" s="1"/>
  <c r="G36" i="3"/>
  <c r="G46" i="3" s="1"/>
  <c r="G62" i="3" s="1"/>
  <c r="G35" i="3"/>
  <c r="G55" i="3" s="1"/>
  <c r="M20" i="3"/>
  <c r="L47" i="3"/>
  <c r="L63" i="3" s="1"/>
  <c r="K38" i="3"/>
  <c r="K57" i="3" s="1"/>
  <c r="L19" i="3"/>
  <c r="K18" i="3"/>
  <c r="K29" i="3" s="1"/>
  <c r="K52" i="3" s="1"/>
  <c r="G25" i="3"/>
  <c r="M12" i="3"/>
  <c r="L11" i="3"/>
  <c r="C13" i="8" l="1"/>
  <c r="C14" i="8" s="1"/>
  <c r="D24" i="6"/>
  <c r="D41" i="7"/>
  <c r="D30" i="7"/>
  <c r="D29" i="7"/>
  <c r="D35" i="7"/>
  <c r="D28" i="7"/>
  <c r="D36" i="7"/>
  <c r="D7" i="7"/>
  <c r="D9" i="7"/>
  <c r="D15" i="7" s="1"/>
  <c r="D24" i="7" s="1"/>
  <c r="D8" i="7"/>
  <c r="D14" i="7" s="1"/>
  <c r="D23" i="7" s="1"/>
  <c r="E41" i="6"/>
  <c r="E6" i="7"/>
  <c r="E30" i="6"/>
  <c r="E29" i="6"/>
  <c r="E36" i="6"/>
  <c r="E35" i="6"/>
  <c r="E28" i="6"/>
  <c r="N24" i="5"/>
  <c r="N41" i="5" s="1"/>
  <c r="O20" i="5"/>
  <c r="D13" i="6"/>
  <c r="D10" i="6"/>
  <c r="N17" i="5"/>
  <c r="N40" i="5" s="1"/>
  <c r="O13" i="5"/>
  <c r="E8" i="6"/>
  <c r="E14" i="6" s="1"/>
  <c r="D31" i="6"/>
  <c r="E9" i="6"/>
  <c r="E15" i="6" s="1"/>
  <c r="E24" i="6" s="1"/>
  <c r="D37" i="6"/>
  <c r="E7" i="6"/>
  <c r="F44" i="5"/>
  <c r="F33" i="5"/>
  <c r="F19" i="6" s="1"/>
  <c r="F19" i="7" s="1"/>
  <c r="O39" i="5"/>
  <c r="Q6" i="5"/>
  <c r="P10" i="5"/>
  <c r="P7" i="3"/>
  <c r="O7" i="4"/>
  <c r="N15" i="4"/>
  <c r="M14" i="4"/>
  <c r="M8" i="3"/>
  <c r="L8" i="4"/>
  <c r="F55" i="4"/>
  <c r="F58" i="4" s="1"/>
  <c r="F28" i="5" s="1"/>
  <c r="F39" i="4"/>
  <c r="G33" i="4" s="1"/>
  <c r="G25" i="4"/>
  <c r="L38" i="4"/>
  <c r="L57" i="4" s="1"/>
  <c r="L18" i="4"/>
  <c r="L29" i="4" s="1"/>
  <c r="L52" i="4" s="1"/>
  <c r="M19" i="4"/>
  <c r="P12" i="4"/>
  <c r="O11" i="4"/>
  <c r="O20" i="4"/>
  <c r="N47" i="4"/>
  <c r="N63" i="4" s="1"/>
  <c r="F64" i="4"/>
  <c r="F48" i="4"/>
  <c r="G42" i="4" s="1"/>
  <c r="G27" i="3"/>
  <c r="G37" i="3" s="1"/>
  <c r="G28" i="3"/>
  <c r="G45" i="3" s="1"/>
  <c r="G26" i="3"/>
  <c r="G51" i="3" s="1"/>
  <c r="G53" i="3" s="1"/>
  <c r="M11" i="3"/>
  <c r="N12" i="3"/>
  <c r="M47" i="3"/>
  <c r="M63" i="3" s="1"/>
  <c r="N20" i="3"/>
  <c r="L38" i="3"/>
  <c r="L57" i="3" s="1"/>
  <c r="L18" i="3"/>
  <c r="L29" i="3" s="1"/>
  <c r="L52" i="3" s="1"/>
  <c r="M19" i="3"/>
  <c r="P14" i="3"/>
  <c r="Q15" i="3"/>
  <c r="E37" i="6" l="1"/>
  <c r="D22" i="6"/>
  <c r="D25" i="6" s="1"/>
  <c r="D33" i="6" s="1"/>
  <c r="D16" i="6"/>
  <c r="D40" i="6" s="1"/>
  <c r="D31" i="7"/>
  <c r="E23" i="6"/>
  <c r="E41" i="7"/>
  <c r="E29" i="7"/>
  <c r="E36" i="7"/>
  <c r="E35" i="7"/>
  <c r="E28" i="7"/>
  <c r="E30" i="7"/>
  <c r="E9" i="7"/>
  <c r="E15" i="7" s="1"/>
  <c r="E24" i="7" s="1"/>
  <c r="E8" i="7"/>
  <c r="E14" i="7" s="1"/>
  <c r="E23" i="7" s="1"/>
  <c r="E7" i="7"/>
  <c r="D13" i="7"/>
  <c r="D10" i="7"/>
  <c r="E10" i="6"/>
  <c r="E13" i="6"/>
  <c r="P13" i="5"/>
  <c r="O17" i="5"/>
  <c r="O40" i="5" s="1"/>
  <c r="O24" i="5"/>
  <c r="O41" i="5" s="1"/>
  <c r="P20" i="5"/>
  <c r="E31" i="6"/>
  <c r="D37" i="7"/>
  <c r="F45" i="5"/>
  <c r="F34" i="5"/>
  <c r="F20" i="6" s="1"/>
  <c r="F20" i="7" s="1"/>
  <c r="P39" i="5"/>
  <c r="F66" i="4"/>
  <c r="F29" i="5"/>
  <c r="F30" i="5" s="1"/>
  <c r="Q10" i="5"/>
  <c r="R6" i="5"/>
  <c r="G34" i="4"/>
  <c r="Q12" i="4"/>
  <c r="P11" i="4"/>
  <c r="N19" i="4"/>
  <c r="M38" i="4"/>
  <c r="M57" i="4" s="1"/>
  <c r="M18" i="4"/>
  <c r="M29" i="4" s="1"/>
  <c r="M52" i="4" s="1"/>
  <c r="G26" i="4"/>
  <c r="G51" i="4" s="1"/>
  <c r="G53" i="4" s="1"/>
  <c r="G27" i="5" s="1"/>
  <c r="G28" i="4"/>
  <c r="G45" i="4" s="1"/>
  <c r="G61" i="4" s="1"/>
  <c r="G27" i="4"/>
  <c r="G37" i="4" s="1"/>
  <c r="G56" i="4" s="1"/>
  <c r="G43" i="4"/>
  <c r="G44" i="4" s="1"/>
  <c r="G60" i="4" s="1"/>
  <c r="O15" i="4"/>
  <c r="N14" i="4"/>
  <c r="O47" i="4"/>
  <c r="O63" i="4" s="1"/>
  <c r="P20" i="4"/>
  <c r="N8" i="3"/>
  <c r="M8" i="4"/>
  <c r="Q7" i="3"/>
  <c r="P7" i="4"/>
  <c r="M38" i="3"/>
  <c r="M57" i="3" s="1"/>
  <c r="N19" i="3"/>
  <c r="M18" i="3"/>
  <c r="M29" i="3" s="1"/>
  <c r="M52" i="3" s="1"/>
  <c r="R15" i="3"/>
  <c r="R14" i="3" s="1"/>
  <c r="Q14" i="3"/>
  <c r="G61" i="3"/>
  <c r="G64" i="3" s="1"/>
  <c r="G48" i="3"/>
  <c r="H42" i="3" s="1"/>
  <c r="G30" i="3"/>
  <c r="H24" i="3" s="1"/>
  <c r="N47" i="3"/>
  <c r="N63" i="3" s="1"/>
  <c r="O20" i="3"/>
  <c r="N11" i="3"/>
  <c r="O12" i="3"/>
  <c r="G56" i="3"/>
  <c r="G58" i="3" s="1"/>
  <c r="G39" i="3"/>
  <c r="H33" i="3" s="1"/>
  <c r="F36" i="5" l="1"/>
  <c r="F6" i="6"/>
  <c r="F8" i="6" s="1"/>
  <c r="F14" i="6" s="1"/>
  <c r="Q20" i="5"/>
  <c r="P24" i="5"/>
  <c r="P41" i="5" s="1"/>
  <c r="E16" i="6"/>
  <c r="E40" i="6" s="1"/>
  <c r="E22" i="6"/>
  <c r="E25" i="6" s="1"/>
  <c r="E33" i="6" s="1"/>
  <c r="E10" i="7"/>
  <c r="E13" i="7"/>
  <c r="E31" i="7"/>
  <c r="R10" i="5"/>
  <c r="R39" i="5" s="1"/>
  <c r="D22" i="7"/>
  <c r="D25" i="7" s="1"/>
  <c r="D33" i="7" s="1"/>
  <c r="D16" i="7"/>
  <c r="D40" i="7" s="1"/>
  <c r="P17" i="5"/>
  <c r="P40" i="5" s="1"/>
  <c r="Q13" i="5"/>
  <c r="E37" i="7"/>
  <c r="D39" i="6"/>
  <c r="D43" i="6" s="1"/>
  <c r="D6" i="8" s="1"/>
  <c r="G44" i="5"/>
  <c r="G33" i="5"/>
  <c r="G19" i="6" s="1"/>
  <c r="G19" i="7" s="1"/>
  <c r="Q39" i="5"/>
  <c r="F46" i="5"/>
  <c r="F35" i="5"/>
  <c r="F21" i="6" s="1"/>
  <c r="F21" i="7" s="1"/>
  <c r="G35" i="4"/>
  <c r="G55" i="4" s="1"/>
  <c r="G58" i="4" s="1"/>
  <c r="G28" i="5" s="1"/>
  <c r="G36" i="4"/>
  <c r="G46" i="4" s="1"/>
  <c r="R7" i="3"/>
  <c r="R7" i="4" s="1"/>
  <c r="Q7" i="4"/>
  <c r="P47" i="4"/>
  <c r="P63" i="4" s="1"/>
  <c r="Q20" i="4"/>
  <c r="R12" i="4"/>
  <c r="R11" i="4" s="1"/>
  <c r="Q11" i="4"/>
  <c r="G66" i="3"/>
  <c r="O8" i="3"/>
  <c r="N8" i="4"/>
  <c r="G30" i="4"/>
  <c r="H24" i="4" s="1"/>
  <c r="P15" i="4"/>
  <c r="O14" i="4"/>
  <c r="N18" i="4"/>
  <c r="N29" i="4" s="1"/>
  <c r="N52" i="4" s="1"/>
  <c r="O19" i="4"/>
  <c r="N38" i="4"/>
  <c r="N57" i="4" s="1"/>
  <c r="O47" i="3"/>
  <c r="O63" i="3" s="1"/>
  <c r="P20" i="3"/>
  <c r="N18" i="3"/>
  <c r="N29" i="3" s="1"/>
  <c r="N52" i="3" s="1"/>
  <c r="N38" i="3"/>
  <c r="N57" i="3" s="1"/>
  <c r="O19" i="3"/>
  <c r="H43" i="3"/>
  <c r="H44" i="3" s="1"/>
  <c r="H60" i="3" s="1"/>
  <c r="H34" i="3"/>
  <c r="P12" i="3"/>
  <c r="O11" i="3"/>
  <c r="H25" i="3"/>
  <c r="G39" i="4" l="1"/>
  <c r="H33" i="4" s="1"/>
  <c r="H34" i="4" s="1"/>
  <c r="Q24" i="5"/>
  <c r="Q41" i="5" s="1"/>
  <c r="R20" i="5"/>
  <c r="D39" i="7"/>
  <c r="D43" i="7" s="1"/>
  <c r="D7" i="8" s="1"/>
  <c r="D8" i="8" s="1"/>
  <c r="E39" i="6"/>
  <c r="E43" i="6" s="1"/>
  <c r="E6" i="8" s="1"/>
  <c r="F41" i="6"/>
  <c r="F6" i="7"/>
  <c r="F28" i="6"/>
  <c r="F36" i="6"/>
  <c r="F29" i="6"/>
  <c r="F30" i="6"/>
  <c r="F35" i="6"/>
  <c r="F7" i="6"/>
  <c r="F9" i="6"/>
  <c r="F15" i="6" s="1"/>
  <c r="Q17" i="5"/>
  <c r="Q40" i="5" s="1"/>
  <c r="R13" i="5"/>
  <c r="F47" i="5"/>
  <c r="F23" i="6"/>
  <c r="E16" i="7"/>
  <c r="E40" i="7" s="1"/>
  <c r="E22" i="7"/>
  <c r="E25" i="7" s="1"/>
  <c r="E33" i="7" s="1"/>
  <c r="G45" i="5"/>
  <c r="G34" i="5"/>
  <c r="G20" i="6" s="1"/>
  <c r="G20" i="7" s="1"/>
  <c r="P8" i="3"/>
  <c r="O8" i="4"/>
  <c r="P14" i="4"/>
  <c r="Q15" i="4"/>
  <c r="P19" i="4"/>
  <c r="O38" i="4"/>
  <c r="O57" i="4" s="1"/>
  <c r="O18" i="4"/>
  <c r="O29" i="4" s="1"/>
  <c r="O52" i="4" s="1"/>
  <c r="H25" i="4"/>
  <c r="R20" i="4"/>
  <c r="R47" i="4" s="1"/>
  <c r="R63" i="4" s="1"/>
  <c r="Q47" i="4"/>
  <c r="Q63" i="4" s="1"/>
  <c r="G62" i="4"/>
  <c r="G64" i="4" s="1"/>
  <c r="G48" i="4"/>
  <c r="H42" i="4" s="1"/>
  <c r="H26" i="3"/>
  <c r="H51" i="3" s="1"/>
  <c r="H53" i="3" s="1"/>
  <c r="H27" i="3"/>
  <c r="H37" i="3" s="1"/>
  <c r="H56" i="3" s="1"/>
  <c r="H28" i="3"/>
  <c r="H45" i="3" s="1"/>
  <c r="H61" i="3" s="1"/>
  <c r="H35" i="3"/>
  <c r="H55" i="3" s="1"/>
  <c r="H36" i="3"/>
  <c r="H46" i="3" s="1"/>
  <c r="H62" i="3" s="1"/>
  <c r="Q12" i="3"/>
  <c r="P11" i="3"/>
  <c r="P47" i="3"/>
  <c r="P63" i="3" s="1"/>
  <c r="Q20" i="3"/>
  <c r="O38" i="3"/>
  <c r="O57" i="3" s="1"/>
  <c r="P19" i="3"/>
  <c r="O18" i="3"/>
  <c r="O29" i="3" s="1"/>
  <c r="O52" i="3" s="1"/>
  <c r="F31" i="6" l="1"/>
  <c r="F37" i="6"/>
  <c r="R24" i="5"/>
  <c r="R41" i="5" s="1"/>
  <c r="E39" i="7"/>
  <c r="E43" i="7" s="1"/>
  <c r="E7" i="8" s="1"/>
  <c r="E8" i="8" s="1"/>
  <c r="F24" i="6"/>
  <c r="F41" i="7"/>
  <c r="F28" i="7"/>
  <c r="F29" i="7"/>
  <c r="F35" i="7"/>
  <c r="F36" i="7"/>
  <c r="F30" i="7"/>
  <c r="F7" i="7"/>
  <c r="F8" i="7"/>
  <c r="F14" i="7" s="1"/>
  <c r="F23" i="7" s="1"/>
  <c r="F9" i="7"/>
  <c r="F15" i="7" s="1"/>
  <c r="F24" i="7" s="1"/>
  <c r="R17" i="5"/>
  <c r="R40" i="5" s="1"/>
  <c r="F13" i="6"/>
  <c r="F10" i="6"/>
  <c r="D13" i="8"/>
  <c r="D14" i="8" s="1"/>
  <c r="G66" i="4"/>
  <c r="G29" i="5"/>
  <c r="H58" i="3"/>
  <c r="P38" i="4"/>
  <c r="P57" i="4" s="1"/>
  <c r="P18" i="4"/>
  <c r="P29" i="4" s="1"/>
  <c r="P52" i="4" s="1"/>
  <c r="Q19" i="4"/>
  <c r="H30" i="3"/>
  <c r="I24" i="3" s="1"/>
  <c r="I25" i="3" s="1"/>
  <c r="H64" i="3"/>
  <c r="H27" i="4"/>
  <c r="H37" i="4" s="1"/>
  <c r="H56" i="4" s="1"/>
  <c r="H28" i="4"/>
  <c r="H45" i="4" s="1"/>
  <c r="H61" i="4" s="1"/>
  <c r="H26" i="4"/>
  <c r="R15" i="4"/>
  <c r="R14" i="4" s="1"/>
  <c r="Q14" i="4"/>
  <c r="H43" i="4"/>
  <c r="H44" i="4" s="1"/>
  <c r="H60" i="4" s="1"/>
  <c r="Q8" i="3"/>
  <c r="P8" i="4"/>
  <c r="H48" i="3"/>
  <c r="I42" i="3" s="1"/>
  <c r="I43" i="3" s="1"/>
  <c r="I44" i="3" s="1"/>
  <c r="I60" i="3" s="1"/>
  <c r="H36" i="4"/>
  <c r="H46" i="4" s="1"/>
  <c r="H62" i="4" s="1"/>
  <c r="H35" i="4"/>
  <c r="P18" i="3"/>
  <c r="P29" i="3" s="1"/>
  <c r="P52" i="3" s="1"/>
  <c r="P38" i="3"/>
  <c r="P57" i="3" s="1"/>
  <c r="Q19" i="3"/>
  <c r="R12" i="3"/>
  <c r="R11" i="3" s="1"/>
  <c r="Q11" i="3"/>
  <c r="R20" i="3"/>
  <c r="R47" i="3" s="1"/>
  <c r="R63" i="3" s="1"/>
  <c r="Q47" i="3"/>
  <c r="Q63" i="3" s="1"/>
  <c r="H39" i="3"/>
  <c r="I33" i="3" s="1"/>
  <c r="F31" i="7" l="1"/>
  <c r="E13" i="8"/>
  <c r="F22" i="6"/>
  <c r="F25" i="6" s="1"/>
  <c r="F33" i="6" s="1"/>
  <c r="F16" i="6"/>
  <c r="F40" i="6" s="1"/>
  <c r="F37" i="7"/>
  <c r="E14" i="8"/>
  <c r="F13" i="7"/>
  <c r="F10" i="7"/>
  <c r="H64" i="4"/>
  <c r="H29" i="5" s="1"/>
  <c r="G46" i="5"/>
  <c r="G35" i="5"/>
  <c r="G21" i="6" s="1"/>
  <c r="G21" i="7" s="1"/>
  <c r="G30" i="5"/>
  <c r="H66" i="3"/>
  <c r="H48" i="4"/>
  <c r="I42" i="4" s="1"/>
  <c r="Q38" i="4"/>
  <c r="Q57" i="4" s="1"/>
  <c r="Q18" i="4"/>
  <c r="Q29" i="4" s="1"/>
  <c r="Q52" i="4" s="1"/>
  <c r="R19" i="4"/>
  <c r="H51" i="4"/>
  <c r="H53" i="4" s="1"/>
  <c r="H27" i="5" s="1"/>
  <c r="H30" i="4"/>
  <c r="I24" i="4" s="1"/>
  <c r="H55" i="4"/>
  <c r="H58" i="4" s="1"/>
  <c r="H28" i="5" s="1"/>
  <c r="H39" i="4"/>
  <c r="I33" i="4" s="1"/>
  <c r="R8" i="3"/>
  <c r="R8" i="4" s="1"/>
  <c r="Q8" i="4"/>
  <c r="I34" i="3"/>
  <c r="I28" i="3"/>
  <c r="I45" i="3" s="1"/>
  <c r="I61" i="3" s="1"/>
  <c r="I26" i="3"/>
  <c r="I51" i="3" s="1"/>
  <c r="I53" i="3" s="1"/>
  <c r="I27" i="3"/>
  <c r="I37" i="3" s="1"/>
  <c r="I56" i="3" s="1"/>
  <c r="Q18" i="3"/>
  <c r="Q29" i="3" s="1"/>
  <c r="Q52" i="3" s="1"/>
  <c r="Q38" i="3"/>
  <c r="Q57" i="3" s="1"/>
  <c r="R19" i="3"/>
  <c r="I30" i="3" l="1"/>
  <c r="J24" i="3" s="1"/>
  <c r="F22" i="7"/>
  <c r="F25" i="7" s="1"/>
  <c r="F33" i="7" s="1"/>
  <c r="F16" i="7"/>
  <c r="F40" i="7" s="1"/>
  <c r="G47" i="5"/>
  <c r="F39" i="6"/>
  <c r="F43" i="6" s="1"/>
  <c r="F6" i="8" s="1"/>
  <c r="G36" i="5"/>
  <c r="G6" i="6"/>
  <c r="H45" i="5"/>
  <c r="H34" i="5"/>
  <c r="H20" i="6" s="1"/>
  <c r="H20" i="7" s="1"/>
  <c r="H46" i="5"/>
  <c r="H35" i="5"/>
  <c r="H21" i="6" s="1"/>
  <c r="H21" i="7" s="1"/>
  <c r="H30" i="5"/>
  <c r="H36" i="5" s="1"/>
  <c r="H44" i="5"/>
  <c r="H33" i="5"/>
  <c r="H19" i="6" s="1"/>
  <c r="H19" i="7" s="1"/>
  <c r="I34" i="4"/>
  <c r="R18" i="4"/>
  <c r="R29" i="4" s="1"/>
  <c r="R52" i="4" s="1"/>
  <c r="R38" i="4"/>
  <c r="R57" i="4" s="1"/>
  <c r="I25" i="4"/>
  <c r="H66" i="4"/>
  <c r="I43" i="4"/>
  <c r="I44" i="4" s="1"/>
  <c r="I60" i="4" s="1"/>
  <c r="J25" i="3"/>
  <c r="I35" i="3"/>
  <c r="I55" i="3" s="1"/>
  <c r="I58" i="3" s="1"/>
  <c r="I36" i="3"/>
  <c r="I46" i="3" s="1"/>
  <c r="I62" i="3" s="1"/>
  <c r="I64" i="3" s="1"/>
  <c r="R38" i="3"/>
  <c r="R57" i="3" s="1"/>
  <c r="R18" i="3"/>
  <c r="R29" i="3" s="1"/>
  <c r="R52" i="3" s="1"/>
  <c r="I39" i="3"/>
  <c r="J33" i="3" s="1"/>
  <c r="G6" i="7" l="1"/>
  <c r="G41" i="6"/>
  <c r="G28" i="6"/>
  <c r="G29" i="6"/>
  <c r="G35" i="6"/>
  <c r="G30" i="6"/>
  <c r="G36" i="6"/>
  <c r="G7" i="6"/>
  <c r="G8" i="6"/>
  <c r="G14" i="6" s="1"/>
  <c r="I48" i="3"/>
  <c r="J42" i="3" s="1"/>
  <c r="H47" i="5"/>
  <c r="H6" i="6"/>
  <c r="H8" i="6" s="1"/>
  <c r="H14" i="6" s="1"/>
  <c r="H23" i="6" s="1"/>
  <c r="G9" i="6"/>
  <c r="G15" i="6" s="1"/>
  <c r="F39" i="7"/>
  <c r="F43" i="7" s="1"/>
  <c r="F7" i="8" s="1"/>
  <c r="F8" i="8" s="1"/>
  <c r="I28" i="4"/>
  <c r="I45" i="4" s="1"/>
  <c r="I27" i="4"/>
  <c r="I37" i="4" s="1"/>
  <c r="I56" i="4" s="1"/>
  <c r="I26" i="4"/>
  <c r="I51" i="4" s="1"/>
  <c r="I53" i="4" s="1"/>
  <c r="I27" i="5" s="1"/>
  <c r="I36" i="4"/>
  <c r="I46" i="4" s="1"/>
  <c r="I62" i="4" s="1"/>
  <c r="I35" i="4"/>
  <c r="I55" i="4" s="1"/>
  <c r="I66" i="3"/>
  <c r="I30" i="4"/>
  <c r="J24" i="4" s="1"/>
  <c r="J43" i="3"/>
  <c r="J44" i="3" s="1"/>
  <c r="J60" i="3" s="1"/>
  <c r="J34" i="3"/>
  <c r="J28" i="3"/>
  <c r="J45" i="3" s="1"/>
  <c r="J61" i="3" s="1"/>
  <c r="J26" i="3"/>
  <c r="J27" i="3"/>
  <c r="J37" i="3" s="1"/>
  <c r="J56" i="3" s="1"/>
  <c r="F13" i="8" l="1"/>
  <c r="F14" i="8" s="1"/>
  <c r="G31" i="6"/>
  <c r="H6" i="7"/>
  <c r="H41" i="6"/>
  <c r="H28" i="6"/>
  <c r="H35" i="6"/>
  <c r="H36" i="6"/>
  <c r="H30" i="6"/>
  <c r="H29" i="6"/>
  <c r="H9" i="6"/>
  <c r="H15" i="6" s="1"/>
  <c r="H24" i="6" s="1"/>
  <c r="G10" i="6"/>
  <c r="G13" i="6"/>
  <c r="H7" i="6"/>
  <c r="G24" i="6"/>
  <c r="G23" i="6"/>
  <c r="G37" i="6"/>
  <c r="G41" i="7"/>
  <c r="G28" i="7"/>
  <c r="G36" i="7"/>
  <c r="G30" i="7"/>
  <c r="G35" i="7"/>
  <c r="G29" i="7"/>
  <c r="G7" i="7"/>
  <c r="G8" i="7"/>
  <c r="G14" i="7" s="1"/>
  <c r="G23" i="7" s="1"/>
  <c r="G9" i="7"/>
  <c r="G15" i="7" s="1"/>
  <c r="G24" i="7" s="1"/>
  <c r="I44" i="5"/>
  <c r="I33" i="5"/>
  <c r="I19" i="6" s="1"/>
  <c r="I19" i="7" s="1"/>
  <c r="I39" i="4"/>
  <c r="J33" i="4" s="1"/>
  <c r="I58" i="4"/>
  <c r="I61" i="4"/>
  <c r="I64" i="4" s="1"/>
  <c r="I29" i="5" s="1"/>
  <c r="I48" i="4"/>
  <c r="J42" i="4" s="1"/>
  <c r="J25" i="4"/>
  <c r="J35" i="3"/>
  <c r="J55" i="3" s="1"/>
  <c r="J58" i="3" s="1"/>
  <c r="J36" i="3"/>
  <c r="J46" i="3" s="1"/>
  <c r="J51" i="3"/>
  <c r="J53" i="3" s="1"/>
  <c r="J30" i="3"/>
  <c r="K24" i="3" s="1"/>
  <c r="J39" i="3" l="1"/>
  <c r="K33" i="3" s="1"/>
  <c r="H41" i="7"/>
  <c r="H28" i="7"/>
  <c r="H35" i="7"/>
  <c r="H36" i="7"/>
  <c r="H29" i="7"/>
  <c r="H30" i="7"/>
  <c r="H8" i="7"/>
  <c r="H14" i="7" s="1"/>
  <c r="H23" i="7" s="1"/>
  <c r="H9" i="7"/>
  <c r="H15" i="7" s="1"/>
  <c r="H24" i="7" s="1"/>
  <c r="H7" i="7"/>
  <c r="H37" i="6"/>
  <c r="G31" i="7"/>
  <c r="H13" i="6"/>
  <c r="H10" i="6"/>
  <c r="H31" i="6"/>
  <c r="G10" i="7"/>
  <c r="G13" i="7"/>
  <c r="G37" i="7"/>
  <c r="G22" i="6"/>
  <c r="G25" i="6" s="1"/>
  <c r="G33" i="6" s="1"/>
  <c r="G16" i="6"/>
  <c r="G40" i="6" s="1"/>
  <c r="I46" i="5"/>
  <c r="I35" i="5"/>
  <c r="I21" i="6" s="1"/>
  <c r="I21" i="7" s="1"/>
  <c r="I66" i="4"/>
  <c r="I28" i="5"/>
  <c r="J28" i="4"/>
  <c r="J45" i="4" s="1"/>
  <c r="J61" i="4" s="1"/>
  <c r="J26" i="4"/>
  <c r="J51" i="4" s="1"/>
  <c r="J53" i="4" s="1"/>
  <c r="J27" i="5" s="1"/>
  <c r="J27" i="4"/>
  <c r="J37" i="4" s="1"/>
  <c r="J56" i="4" s="1"/>
  <c r="J34" i="4"/>
  <c r="J43" i="4"/>
  <c r="J44" i="4" s="1"/>
  <c r="J60" i="4" s="1"/>
  <c r="K34" i="3"/>
  <c r="J62" i="3"/>
  <c r="J64" i="3" s="1"/>
  <c r="J48" i="3"/>
  <c r="K42" i="3" s="1"/>
  <c r="K25" i="3"/>
  <c r="G39" i="6" l="1"/>
  <c r="G43" i="6" s="1"/>
  <c r="G6" i="8" s="1"/>
  <c r="H37" i="7"/>
  <c r="G16" i="7"/>
  <c r="G40" i="7" s="1"/>
  <c r="G22" i="7"/>
  <c r="G25" i="7" s="1"/>
  <c r="G33" i="7" s="1"/>
  <c r="H22" i="6"/>
  <c r="H25" i="6" s="1"/>
  <c r="H33" i="6" s="1"/>
  <c r="H16" i="6"/>
  <c r="H40" i="6" s="1"/>
  <c r="H31" i="7"/>
  <c r="H13" i="7"/>
  <c r="H10" i="7"/>
  <c r="J44" i="5"/>
  <c r="J33" i="5"/>
  <c r="J19" i="6" s="1"/>
  <c r="J19" i="7" s="1"/>
  <c r="I45" i="5"/>
  <c r="I34" i="5"/>
  <c r="I20" i="6" s="1"/>
  <c r="I20" i="7" s="1"/>
  <c r="I30" i="5"/>
  <c r="J66" i="3"/>
  <c r="J35" i="4"/>
  <c r="J36" i="4"/>
  <c r="J46" i="4" s="1"/>
  <c r="J62" i="4" s="1"/>
  <c r="J64" i="4" s="1"/>
  <c r="J29" i="5" s="1"/>
  <c r="J30" i="4"/>
  <c r="K24" i="4" s="1"/>
  <c r="K27" i="3"/>
  <c r="K37" i="3" s="1"/>
  <c r="K56" i="3" s="1"/>
  <c r="K28" i="3"/>
  <c r="K45" i="3" s="1"/>
  <c r="K61" i="3" s="1"/>
  <c r="K26" i="3"/>
  <c r="K43" i="3"/>
  <c r="K44" i="3" s="1"/>
  <c r="K60" i="3" s="1"/>
  <c r="K36" i="3"/>
  <c r="K46" i="3" s="1"/>
  <c r="K62" i="3" s="1"/>
  <c r="K35" i="3"/>
  <c r="H39" i="6" l="1"/>
  <c r="H43" i="6"/>
  <c r="H6" i="8" s="1"/>
  <c r="I47" i="5"/>
  <c r="H22" i="7"/>
  <c r="H25" i="7" s="1"/>
  <c r="H33" i="7" s="1"/>
  <c r="H16" i="7"/>
  <c r="H40" i="7" s="1"/>
  <c r="J48" i="4"/>
  <c r="K42" i="4" s="1"/>
  <c r="K43" i="4" s="1"/>
  <c r="K44" i="4" s="1"/>
  <c r="K60" i="4" s="1"/>
  <c r="I36" i="5"/>
  <c r="I6" i="6"/>
  <c r="I8" i="6" s="1"/>
  <c r="I14" i="6" s="1"/>
  <c r="I23" i="6" s="1"/>
  <c r="G39" i="7"/>
  <c r="G43" i="7" s="1"/>
  <c r="G7" i="8" s="1"/>
  <c r="G8" i="8" s="1"/>
  <c r="J46" i="5"/>
  <c r="J35" i="5"/>
  <c r="J21" i="6" s="1"/>
  <c r="J21" i="7" s="1"/>
  <c r="J55" i="4"/>
  <c r="J58" i="4" s="1"/>
  <c r="J39" i="4"/>
  <c r="K33" i="4" s="1"/>
  <c r="K25" i="4"/>
  <c r="K55" i="3"/>
  <c r="K58" i="3" s="1"/>
  <c r="K39" i="3"/>
  <c r="L33" i="3" s="1"/>
  <c r="K51" i="3"/>
  <c r="K53" i="3" s="1"/>
  <c r="K30" i="3"/>
  <c r="L24" i="3" s="1"/>
  <c r="K48" i="3"/>
  <c r="L42" i="3" s="1"/>
  <c r="K64" i="3"/>
  <c r="G13" i="8" l="1"/>
  <c r="G14" i="8" s="1"/>
  <c r="H39" i="7"/>
  <c r="H43" i="7" s="1"/>
  <c r="H7" i="8" s="1"/>
  <c r="H8" i="8" s="1"/>
  <c r="H13" i="8" s="1"/>
  <c r="I6" i="7"/>
  <c r="I41" i="6"/>
  <c r="I28" i="6"/>
  <c r="I30" i="6"/>
  <c r="I35" i="6"/>
  <c r="I36" i="6"/>
  <c r="I29" i="6"/>
  <c r="I7" i="6"/>
  <c r="I9" i="6"/>
  <c r="I15" i="6" s="1"/>
  <c r="I24" i="6" s="1"/>
  <c r="J66" i="4"/>
  <c r="J28" i="5"/>
  <c r="K34" i="4"/>
  <c r="K27" i="4"/>
  <c r="K37" i="4" s="1"/>
  <c r="K56" i="4" s="1"/>
  <c r="K28" i="4"/>
  <c r="K45" i="4" s="1"/>
  <c r="K26" i="4"/>
  <c r="L25" i="3"/>
  <c r="K66" i="3"/>
  <c r="L34" i="3"/>
  <c r="L43" i="3"/>
  <c r="L44" i="3" s="1"/>
  <c r="L60" i="3" s="1"/>
  <c r="I10" i="6" l="1"/>
  <c r="I13" i="6"/>
  <c r="I31" i="6"/>
  <c r="I37" i="6"/>
  <c r="I41" i="7"/>
  <c r="I28" i="7"/>
  <c r="I35" i="7"/>
  <c r="I29" i="7"/>
  <c r="I36" i="7"/>
  <c r="I30" i="7"/>
  <c r="I7" i="7"/>
  <c r="I9" i="7"/>
  <c r="I15" i="7" s="1"/>
  <c r="I24" i="7" s="1"/>
  <c r="I8" i="7"/>
  <c r="I14" i="7" s="1"/>
  <c r="I23" i="7" s="1"/>
  <c r="H14" i="8"/>
  <c r="J45" i="5"/>
  <c r="J34" i="5"/>
  <c r="J20" i="6" s="1"/>
  <c r="J20" i="7" s="1"/>
  <c r="J30" i="5"/>
  <c r="K51" i="4"/>
  <c r="K53" i="4" s="1"/>
  <c r="K27" i="5" s="1"/>
  <c r="K30" i="4"/>
  <c r="L24" i="4" s="1"/>
  <c r="K35" i="4"/>
  <c r="K55" i="4" s="1"/>
  <c r="K58" i="4" s="1"/>
  <c r="K28" i="5" s="1"/>
  <c r="K36" i="4"/>
  <c r="K46" i="4" s="1"/>
  <c r="K62" i="4" s="1"/>
  <c r="K61" i="4"/>
  <c r="L27" i="3"/>
  <c r="L37" i="3" s="1"/>
  <c r="L56" i="3" s="1"/>
  <c r="L28" i="3"/>
  <c r="L45" i="3" s="1"/>
  <c r="L61" i="3" s="1"/>
  <c r="L26" i="3"/>
  <c r="L51" i="3" s="1"/>
  <c r="L53" i="3" s="1"/>
  <c r="L36" i="3"/>
  <c r="L46" i="3" s="1"/>
  <c r="L62" i="3" s="1"/>
  <c r="L35" i="3"/>
  <c r="L55" i="3" s="1"/>
  <c r="I37" i="7" l="1"/>
  <c r="K39" i="4"/>
  <c r="L33" i="4" s="1"/>
  <c r="L34" i="4" s="1"/>
  <c r="K64" i="4"/>
  <c r="K29" i="5" s="1"/>
  <c r="I31" i="7"/>
  <c r="L64" i="3"/>
  <c r="J36" i="5"/>
  <c r="J6" i="6"/>
  <c r="I16" i="6"/>
  <c r="I40" i="6" s="1"/>
  <c r="I22" i="6"/>
  <c r="I25" i="6" s="1"/>
  <c r="I33" i="6" s="1"/>
  <c r="J47" i="5"/>
  <c r="J8" i="6"/>
  <c r="J14" i="6" s="1"/>
  <c r="J23" i="6" s="1"/>
  <c r="I13" i="7"/>
  <c r="I10" i="7"/>
  <c r="K44" i="5"/>
  <c r="K30" i="5"/>
  <c r="K33" i="5"/>
  <c r="K19" i="6" s="1"/>
  <c r="K19" i="7" s="1"/>
  <c r="K45" i="5"/>
  <c r="K34" i="5"/>
  <c r="K20" i="6" s="1"/>
  <c r="K20" i="7" s="1"/>
  <c r="K46" i="5"/>
  <c r="K35" i="5"/>
  <c r="K21" i="6" s="1"/>
  <c r="K21" i="7" s="1"/>
  <c r="K48" i="4"/>
  <c r="L42" i="4" s="1"/>
  <c r="L43" i="4" s="1"/>
  <c r="L44" i="4" s="1"/>
  <c r="L60" i="4" s="1"/>
  <c r="L25" i="4"/>
  <c r="L30" i="3"/>
  <c r="M24" i="3" s="1"/>
  <c r="M25" i="3" s="1"/>
  <c r="K66" i="4"/>
  <c r="L58" i="3"/>
  <c r="L48" i="3"/>
  <c r="M42" i="3" s="1"/>
  <c r="L39" i="3"/>
  <c r="M33" i="3" s="1"/>
  <c r="I22" i="7" l="1"/>
  <c r="I25" i="7" s="1"/>
  <c r="I33" i="7" s="1"/>
  <c r="I16" i="7"/>
  <c r="I40" i="7" s="1"/>
  <c r="I39" i="6"/>
  <c r="I43" i="6"/>
  <c r="I6" i="8" s="1"/>
  <c r="K36" i="5"/>
  <c r="K6" i="6"/>
  <c r="J41" i="6"/>
  <c r="J6" i="7"/>
  <c r="J28" i="6"/>
  <c r="J30" i="6"/>
  <c r="J29" i="6"/>
  <c r="J36" i="6"/>
  <c r="J35" i="6"/>
  <c r="J7" i="6"/>
  <c r="J9" i="6"/>
  <c r="J15" i="6" s="1"/>
  <c r="J24" i="6" s="1"/>
  <c r="K8" i="6"/>
  <c r="K14" i="6" s="1"/>
  <c r="K23" i="6" s="1"/>
  <c r="K47" i="5"/>
  <c r="L66" i="3"/>
  <c r="L36" i="4"/>
  <c r="L46" i="4" s="1"/>
  <c r="L62" i="4" s="1"/>
  <c r="L35" i="4"/>
  <c r="L55" i="4" s="1"/>
  <c r="L27" i="4"/>
  <c r="L37" i="4" s="1"/>
  <c r="L56" i="4" s="1"/>
  <c r="L26" i="4"/>
  <c r="L51" i="4" s="1"/>
  <c r="L53" i="4" s="1"/>
  <c r="L27" i="5" s="1"/>
  <c r="L28" i="4"/>
  <c r="L45" i="4" s="1"/>
  <c r="M43" i="3"/>
  <c r="M44" i="3" s="1"/>
  <c r="M60" i="3" s="1"/>
  <c r="M28" i="3"/>
  <c r="M45" i="3" s="1"/>
  <c r="M61" i="3" s="1"/>
  <c r="M26" i="3"/>
  <c r="M51" i="3" s="1"/>
  <c r="M53" i="3" s="1"/>
  <c r="M27" i="3"/>
  <c r="M37" i="3" s="1"/>
  <c r="M56" i="3" s="1"/>
  <c r="M34" i="3"/>
  <c r="J41" i="7" l="1"/>
  <c r="J28" i="7"/>
  <c r="J36" i="7"/>
  <c r="J35" i="7"/>
  <c r="J37" i="7" s="1"/>
  <c r="J30" i="7"/>
  <c r="J29" i="7"/>
  <c r="J7" i="7"/>
  <c r="J9" i="7"/>
  <c r="J15" i="7" s="1"/>
  <c r="J24" i="7" s="1"/>
  <c r="J8" i="7"/>
  <c r="J14" i="7" s="1"/>
  <c r="J23" i="7" s="1"/>
  <c r="K6" i="7"/>
  <c r="K41" i="6"/>
  <c r="K28" i="6"/>
  <c r="K30" i="6"/>
  <c r="K29" i="6"/>
  <c r="K36" i="6"/>
  <c r="K35" i="6"/>
  <c r="J13" i="6"/>
  <c r="J10" i="6"/>
  <c r="K9" i="6"/>
  <c r="K15" i="6" s="1"/>
  <c r="K24" i="6" s="1"/>
  <c r="M30" i="3"/>
  <c r="N24" i="3" s="1"/>
  <c r="N25" i="3" s="1"/>
  <c r="L39" i="4"/>
  <c r="M33" i="4" s="1"/>
  <c r="J37" i="6"/>
  <c r="J31" i="6"/>
  <c r="K7" i="6"/>
  <c r="I39" i="7"/>
  <c r="I43" i="7" s="1"/>
  <c r="I7" i="8" s="1"/>
  <c r="I8" i="8" s="1"/>
  <c r="I13" i="8" s="1"/>
  <c r="I14" i="8" s="1"/>
  <c r="L44" i="5"/>
  <c r="L33" i="5"/>
  <c r="L19" i="6" s="1"/>
  <c r="L19" i="7" s="1"/>
  <c r="L30" i="4"/>
  <c r="M24" i="4" s="1"/>
  <c r="M25" i="4" s="1"/>
  <c r="M34" i="4"/>
  <c r="L58" i="4"/>
  <c r="L61" i="4"/>
  <c r="L64" i="4" s="1"/>
  <c r="L29" i="5" s="1"/>
  <c r="L48" i="4"/>
  <c r="M42" i="4" s="1"/>
  <c r="M35" i="3"/>
  <c r="M55" i="3" s="1"/>
  <c r="M58" i="3" s="1"/>
  <c r="M36" i="3"/>
  <c r="M46" i="3" s="1"/>
  <c r="M62" i="3" s="1"/>
  <c r="M64" i="3" s="1"/>
  <c r="M48" i="3" l="1"/>
  <c r="N42" i="3" s="1"/>
  <c r="K41" i="7"/>
  <c r="K28" i="7"/>
  <c r="K29" i="7"/>
  <c r="K36" i="7"/>
  <c r="K35" i="7"/>
  <c r="K30" i="7"/>
  <c r="K9" i="7"/>
  <c r="K15" i="7" s="1"/>
  <c r="K24" i="7" s="1"/>
  <c r="K8" i="7"/>
  <c r="K14" i="7" s="1"/>
  <c r="K23" i="7" s="1"/>
  <c r="K7" i="7"/>
  <c r="J13" i="7"/>
  <c r="J10" i="7"/>
  <c r="K13" i="6"/>
  <c r="K10" i="6"/>
  <c r="J22" i="6"/>
  <c r="J25" i="6" s="1"/>
  <c r="J33" i="6" s="1"/>
  <c r="J16" i="6"/>
  <c r="J40" i="6" s="1"/>
  <c r="J31" i="7"/>
  <c r="K37" i="6"/>
  <c r="K31" i="6"/>
  <c r="L66" i="4"/>
  <c r="L28" i="5"/>
  <c r="L46" i="5"/>
  <c r="L35" i="5"/>
  <c r="L21" i="6" s="1"/>
  <c r="L21" i="7" s="1"/>
  <c r="M43" i="4"/>
  <c r="M44" i="4" s="1"/>
  <c r="M60" i="4" s="1"/>
  <c r="M36" i="4"/>
  <c r="M46" i="4" s="1"/>
  <c r="M62" i="4" s="1"/>
  <c r="M35" i="4"/>
  <c r="M55" i="4" s="1"/>
  <c r="M28" i="4"/>
  <c r="M45" i="4" s="1"/>
  <c r="M61" i="4" s="1"/>
  <c r="M27" i="4"/>
  <c r="M37" i="4" s="1"/>
  <c r="M56" i="4" s="1"/>
  <c r="M26" i="4"/>
  <c r="M51" i="4" s="1"/>
  <c r="M53" i="4" s="1"/>
  <c r="M27" i="5" s="1"/>
  <c r="M66" i="3"/>
  <c r="N43" i="3"/>
  <c r="N44" i="3" s="1"/>
  <c r="N60" i="3" s="1"/>
  <c r="N26" i="3"/>
  <c r="N51" i="3" s="1"/>
  <c r="N53" i="3" s="1"/>
  <c r="N28" i="3"/>
  <c r="N45" i="3" s="1"/>
  <c r="N61" i="3" s="1"/>
  <c r="N27" i="3"/>
  <c r="N37" i="3" s="1"/>
  <c r="N56" i="3" s="1"/>
  <c r="M39" i="3"/>
  <c r="N33" i="3" s="1"/>
  <c r="N30" i="3" l="1"/>
  <c r="O24" i="3" s="1"/>
  <c r="J39" i="6"/>
  <c r="J43" i="6"/>
  <c r="J6" i="8" s="1"/>
  <c r="J22" i="7"/>
  <c r="J25" i="7" s="1"/>
  <c r="J33" i="7" s="1"/>
  <c r="J16" i="7"/>
  <c r="J40" i="7" s="1"/>
  <c r="K31" i="7"/>
  <c r="K10" i="7"/>
  <c r="K13" i="7"/>
  <c r="K37" i="7"/>
  <c r="K22" i="6"/>
  <c r="K25" i="6" s="1"/>
  <c r="K33" i="6" s="1"/>
  <c r="K16" i="6"/>
  <c r="K40" i="6" s="1"/>
  <c r="L45" i="5"/>
  <c r="L34" i="5"/>
  <c r="L20" i="6" s="1"/>
  <c r="L20" i="7" s="1"/>
  <c r="L30" i="5"/>
  <c r="M39" i="4"/>
  <c r="N33" i="4" s="1"/>
  <c r="N34" i="4" s="1"/>
  <c r="M58" i="4"/>
  <c r="M28" i="5" s="1"/>
  <c r="M44" i="5"/>
  <c r="M33" i="5"/>
  <c r="M19" i="6" s="1"/>
  <c r="M19" i="7" s="1"/>
  <c r="M64" i="4"/>
  <c r="M30" i="4"/>
  <c r="N24" i="4" s="1"/>
  <c r="M48" i="4"/>
  <c r="N42" i="4" s="1"/>
  <c r="O25" i="3"/>
  <c r="N34" i="3"/>
  <c r="K16" i="7" l="1"/>
  <c r="K40" i="7" s="1"/>
  <c r="K22" i="7"/>
  <c r="K25" i="7" s="1"/>
  <c r="K33" i="7" s="1"/>
  <c r="J39" i="7"/>
  <c r="J43" i="7" s="1"/>
  <c r="J7" i="8" s="1"/>
  <c r="J8" i="8" s="1"/>
  <c r="J13" i="8" s="1"/>
  <c r="J14" i="8" s="1"/>
  <c r="L36" i="5"/>
  <c r="L6" i="6"/>
  <c r="L47" i="5"/>
  <c r="L8" i="6"/>
  <c r="L14" i="6" s="1"/>
  <c r="L23" i="6" s="1"/>
  <c r="K39" i="6"/>
  <c r="K43" i="6" s="1"/>
  <c r="K6" i="8" s="1"/>
  <c r="M66" i="4"/>
  <c r="M29" i="5"/>
  <c r="M45" i="5"/>
  <c r="M34" i="5"/>
  <c r="M20" i="6" s="1"/>
  <c r="M20" i="7" s="1"/>
  <c r="N43" i="4"/>
  <c r="N44" i="4" s="1"/>
  <c r="N60" i="4" s="1"/>
  <c r="N35" i="4"/>
  <c r="N36" i="4"/>
  <c r="N46" i="4" s="1"/>
  <c r="N62" i="4" s="1"/>
  <c r="N25" i="4"/>
  <c r="O27" i="3"/>
  <c r="O37" i="3" s="1"/>
  <c r="O56" i="3" s="1"/>
  <c r="O28" i="3"/>
  <c r="O45" i="3" s="1"/>
  <c r="O61" i="3" s="1"/>
  <c r="O26" i="3"/>
  <c r="N35" i="3"/>
  <c r="N36" i="3"/>
  <c r="N46" i="3" s="1"/>
  <c r="K39" i="7" l="1"/>
  <c r="K43" i="7" s="1"/>
  <c r="K7" i="8" s="1"/>
  <c r="K8" i="8" s="1"/>
  <c r="K13" i="8" s="1"/>
  <c r="K14" i="8" s="1"/>
  <c r="L41" i="6"/>
  <c r="L6" i="7"/>
  <c r="L28" i="6"/>
  <c r="L36" i="6"/>
  <c r="L29" i="6"/>
  <c r="L35" i="6"/>
  <c r="L30" i="6"/>
  <c r="L7" i="6"/>
  <c r="L9" i="6"/>
  <c r="L15" i="6" s="1"/>
  <c r="L24" i="6" s="1"/>
  <c r="M46" i="5"/>
  <c r="M35" i="5"/>
  <c r="M21" i="6" s="1"/>
  <c r="M21" i="7" s="1"/>
  <c r="M30" i="5"/>
  <c r="N55" i="4"/>
  <c r="N28" i="4"/>
  <c r="N45" i="4" s="1"/>
  <c r="N61" i="4" s="1"/>
  <c r="N64" i="4" s="1"/>
  <c r="N26" i="4"/>
  <c r="N51" i="4" s="1"/>
  <c r="N53" i="4" s="1"/>
  <c r="N27" i="5" s="1"/>
  <c r="N27" i="4"/>
  <c r="N37" i="4" s="1"/>
  <c r="N56" i="4" s="1"/>
  <c r="N55" i="3"/>
  <c r="N58" i="3" s="1"/>
  <c r="N39" i="3"/>
  <c r="O33" i="3" s="1"/>
  <c r="O51" i="3"/>
  <c r="O53" i="3" s="1"/>
  <c r="O30" i="3"/>
  <c r="P24" i="3" s="1"/>
  <c r="N62" i="3"/>
  <c r="N64" i="3" s="1"/>
  <c r="N48" i="3"/>
  <c r="O42" i="3" s="1"/>
  <c r="N29" i="5" l="1"/>
  <c r="M47" i="5"/>
  <c r="L31" i="6"/>
  <c r="M36" i="5"/>
  <c r="M6" i="6"/>
  <c r="L37" i="6"/>
  <c r="L41" i="7"/>
  <c r="L28" i="7"/>
  <c r="L35" i="7"/>
  <c r="L30" i="7"/>
  <c r="L36" i="7"/>
  <c r="L29" i="7"/>
  <c r="L7" i="7"/>
  <c r="L9" i="7"/>
  <c r="L15" i="7" s="1"/>
  <c r="L24" i="7" s="1"/>
  <c r="L8" i="7"/>
  <c r="L14" i="7" s="1"/>
  <c r="L23" i="7" s="1"/>
  <c r="L13" i="6"/>
  <c r="L10" i="6"/>
  <c r="N48" i="4"/>
  <c r="O42" i="4" s="1"/>
  <c r="O43" i="4" s="1"/>
  <c r="O44" i="4" s="1"/>
  <c r="O60" i="4" s="1"/>
  <c r="N44" i="5"/>
  <c r="N33" i="5"/>
  <c r="N19" i="6" s="1"/>
  <c r="N19" i="7" s="1"/>
  <c r="N46" i="5"/>
  <c r="N35" i="5"/>
  <c r="N21" i="6" s="1"/>
  <c r="N21" i="7" s="1"/>
  <c r="N30" i="4"/>
  <c r="O24" i="4" s="1"/>
  <c r="O25" i="4" s="1"/>
  <c r="N39" i="4"/>
  <c r="O33" i="4" s="1"/>
  <c r="N58" i="4"/>
  <c r="N66" i="4" s="1"/>
  <c r="P25" i="3"/>
  <c r="O43" i="3"/>
  <c r="O44" i="3" s="1"/>
  <c r="O60" i="3" s="1"/>
  <c r="O34" i="3"/>
  <c r="N66" i="3"/>
  <c r="L37" i="7" l="1"/>
  <c r="M6" i="7"/>
  <c r="M41" i="6"/>
  <c r="M28" i="6"/>
  <c r="M29" i="6"/>
  <c r="M30" i="6"/>
  <c r="M35" i="6"/>
  <c r="M36" i="6"/>
  <c r="M7" i="6"/>
  <c r="M8" i="6"/>
  <c r="M14" i="6" s="1"/>
  <c r="M23" i="6" s="1"/>
  <c r="L22" i="6"/>
  <c r="L25" i="6" s="1"/>
  <c r="L33" i="6" s="1"/>
  <c r="L16" i="6"/>
  <c r="L40" i="6" s="1"/>
  <c r="L10" i="7"/>
  <c r="L13" i="7"/>
  <c r="L31" i="7"/>
  <c r="M9" i="6"/>
  <c r="M15" i="6" s="1"/>
  <c r="M24" i="6" s="1"/>
  <c r="N28" i="5"/>
  <c r="O34" i="4"/>
  <c r="O27" i="4"/>
  <c r="O37" i="4" s="1"/>
  <c r="O56" i="4" s="1"/>
  <c r="O28" i="4"/>
  <c r="O45" i="4" s="1"/>
  <c r="O61" i="4" s="1"/>
  <c r="O26" i="4"/>
  <c r="O51" i="4" s="1"/>
  <c r="O53" i="4" s="1"/>
  <c r="O27" i="5" s="1"/>
  <c r="O36" i="3"/>
  <c r="O46" i="3" s="1"/>
  <c r="O35" i="3"/>
  <c r="P28" i="3"/>
  <c r="P45" i="3" s="1"/>
  <c r="P61" i="3" s="1"/>
  <c r="P27" i="3"/>
  <c r="P37" i="3" s="1"/>
  <c r="P56" i="3" s="1"/>
  <c r="P26" i="3"/>
  <c r="P51" i="3" s="1"/>
  <c r="P53" i="3" s="1"/>
  <c r="M10" i="6" l="1"/>
  <c r="M13" i="6"/>
  <c r="M31" i="6"/>
  <c r="O30" i="4"/>
  <c r="P24" i="4" s="1"/>
  <c r="P25" i="4" s="1"/>
  <c r="L39" i="6"/>
  <c r="L43" i="6" s="1"/>
  <c r="L6" i="8" s="1"/>
  <c r="M37" i="6"/>
  <c r="L16" i="7"/>
  <c r="L40" i="7" s="1"/>
  <c r="L22" i="7"/>
  <c r="L25" i="7" s="1"/>
  <c r="L33" i="7" s="1"/>
  <c r="M41" i="7"/>
  <c r="M28" i="7"/>
  <c r="M36" i="7"/>
  <c r="M35" i="7"/>
  <c r="M30" i="7"/>
  <c r="M29" i="7"/>
  <c r="M7" i="7"/>
  <c r="M8" i="7"/>
  <c r="M14" i="7" s="1"/>
  <c r="M23" i="7" s="1"/>
  <c r="M9" i="7"/>
  <c r="M15" i="7" s="1"/>
  <c r="M24" i="7" s="1"/>
  <c r="O44" i="5"/>
  <c r="O33" i="5"/>
  <c r="O19" i="6" s="1"/>
  <c r="O19" i="7" s="1"/>
  <c r="P30" i="3"/>
  <c r="Q24" i="3" s="1"/>
  <c r="Q25" i="3" s="1"/>
  <c r="N45" i="5"/>
  <c r="N34" i="5"/>
  <c r="N20" i="6" s="1"/>
  <c r="N20" i="7" s="1"/>
  <c r="N30" i="5"/>
  <c r="O36" i="4"/>
  <c r="O46" i="4" s="1"/>
  <c r="O62" i="4" s="1"/>
  <c r="O64" i="4" s="1"/>
  <c r="O35" i="4"/>
  <c r="O55" i="4" s="1"/>
  <c r="O58" i="4" s="1"/>
  <c r="O39" i="4"/>
  <c r="P33" i="4" s="1"/>
  <c r="O55" i="3"/>
  <c r="O58" i="3" s="1"/>
  <c r="O39" i="3"/>
  <c r="P33" i="3" s="1"/>
  <c r="O62" i="3"/>
  <c r="O64" i="3" s="1"/>
  <c r="O48" i="3"/>
  <c r="P42" i="3" s="1"/>
  <c r="O29" i="5" l="1"/>
  <c r="M31" i="7"/>
  <c r="M13" i="7"/>
  <c r="M10" i="7"/>
  <c r="O66" i="4"/>
  <c r="N47" i="5"/>
  <c r="M16" i="6"/>
  <c r="M40" i="6" s="1"/>
  <c r="M22" i="6"/>
  <c r="M25" i="6" s="1"/>
  <c r="M33" i="6" s="1"/>
  <c r="N36" i="5"/>
  <c r="N6" i="6"/>
  <c r="N8" i="6" s="1"/>
  <c r="N14" i="6" s="1"/>
  <c r="N23" i="6" s="1"/>
  <c r="O28" i="5"/>
  <c r="O30" i="5" s="1"/>
  <c r="O36" i="5" s="1"/>
  <c r="M37" i="7"/>
  <c r="L39" i="7"/>
  <c r="L43" i="7" s="1"/>
  <c r="L7" i="8" s="1"/>
  <c r="L8" i="8" s="1"/>
  <c r="L13" i="8" s="1"/>
  <c r="L14" i="8" s="1"/>
  <c r="O46" i="5"/>
  <c r="O35" i="5"/>
  <c r="O21" i="6" s="1"/>
  <c r="O21" i="7" s="1"/>
  <c r="O66" i="3"/>
  <c r="O48" i="4"/>
  <c r="P42" i="4" s="1"/>
  <c r="P27" i="4"/>
  <c r="P37" i="4" s="1"/>
  <c r="P56" i="4" s="1"/>
  <c r="P28" i="4"/>
  <c r="P45" i="4" s="1"/>
  <c r="P61" i="4" s="1"/>
  <c r="P26" i="4"/>
  <c r="P34" i="4"/>
  <c r="P34" i="3"/>
  <c r="P43" i="3"/>
  <c r="P44" i="3" s="1"/>
  <c r="P60" i="3" s="1"/>
  <c r="Q28" i="3"/>
  <c r="Q45" i="3" s="1"/>
  <c r="Q61" i="3" s="1"/>
  <c r="Q26" i="3"/>
  <c r="Q51" i="3" s="1"/>
  <c r="Q53" i="3" s="1"/>
  <c r="Q27" i="3"/>
  <c r="Q37" i="3" s="1"/>
  <c r="Q56" i="3" s="1"/>
  <c r="O45" i="5" l="1"/>
  <c r="O47" i="5" s="1"/>
  <c r="O6" i="6"/>
  <c r="O9" i="6" s="1"/>
  <c r="O15" i="6" s="1"/>
  <c r="O24" i="6" s="1"/>
  <c r="M22" i="7"/>
  <c r="M25" i="7" s="1"/>
  <c r="M33" i="7" s="1"/>
  <c r="M16" i="7"/>
  <c r="M40" i="7" s="1"/>
  <c r="N6" i="7"/>
  <c r="N41" i="6"/>
  <c r="N28" i="6"/>
  <c r="N30" i="6"/>
  <c r="N29" i="6"/>
  <c r="N36" i="6"/>
  <c r="N35" i="6"/>
  <c r="N37" i="6" s="1"/>
  <c r="N7" i="6"/>
  <c r="N9" i="6"/>
  <c r="N15" i="6" s="1"/>
  <c r="N24" i="6" s="1"/>
  <c r="O30" i="6"/>
  <c r="O34" i="5"/>
  <c r="O20" i="6" s="1"/>
  <c r="O20" i="7" s="1"/>
  <c r="M39" i="6"/>
  <c r="M43" i="6"/>
  <c r="M6" i="8" s="1"/>
  <c r="P36" i="4"/>
  <c r="P46" i="4" s="1"/>
  <c r="P62" i="4" s="1"/>
  <c r="P35" i="4"/>
  <c r="P55" i="4" s="1"/>
  <c r="P58" i="4" s="1"/>
  <c r="P43" i="4"/>
  <c r="P44" i="4" s="1"/>
  <c r="P60" i="4" s="1"/>
  <c r="P51" i="4"/>
  <c r="P53" i="4" s="1"/>
  <c r="P27" i="5" s="1"/>
  <c r="P30" i="4"/>
  <c r="Q24" i="4" s="1"/>
  <c r="Q30" i="3"/>
  <c r="R24" i="3" s="1"/>
  <c r="P36" i="3"/>
  <c r="P46" i="3" s="1"/>
  <c r="P35" i="3"/>
  <c r="P55" i="3" s="1"/>
  <c r="P58" i="3" s="1"/>
  <c r="P28" i="5" s="1"/>
  <c r="O35" i="6" l="1"/>
  <c r="O28" i="6"/>
  <c r="P64" i="4"/>
  <c r="O36" i="6"/>
  <c r="O41" i="6"/>
  <c r="O8" i="6"/>
  <c r="O14" i="6" s="1"/>
  <c r="O23" i="6" s="1"/>
  <c r="O7" i="6"/>
  <c r="O10" i="6" s="1"/>
  <c r="O29" i="6"/>
  <c r="O6" i="7"/>
  <c r="N31" i="6"/>
  <c r="O13" i="6"/>
  <c r="O41" i="7"/>
  <c r="O28" i="7"/>
  <c r="O35" i="7"/>
  <c r="O29" i="7"/>
  <c r="O30" i="7"/>
  <c r="O7" i="7"/>
  <c r="N10" i="6"/>
  <c r="N13" i="6"/>
  <c r="M39" i="7"/>
  <c r="M43" i="7" s="1"/>
  <c r="M7" i="8" s="1"/>
  <c r="M8" i="8" s="1"/>
  <c r="M13" i="8" s="1"/>
  <c r="M14" i="8" s="1"/>
  <c r="N41" i="7"/>
  <c r="N28" i="7"/>
  <c r="N30" i="7"/>
  <c r="N35" i="7"/>
  <c r="N36" i="7"/>
  <c r="N29" i="7"/>
  <c r="N7" i="7"/>
  <c r="N9" i="7"/>
  <c r="N15" i="7" s="1"/>
  <c r="N24" i="7" s="1"/>
  <c r="N8" i="7"/>
  <c r="N14" i="7" s="1"/>
  <c r="N23" i="7" s="1"/>
  <c r="P45" i="5"/>
  <c r="P34" i="5"/>
  <c r="P20" i="6" s="1"/>
  <c r="P20" i="7" s="1"/>
  <c r="P44" i="5"/>
  <c r="P33" i="5"/>
  <c r="P19" i="6" s="1"/>
  <c r="P19" i="7" s="1"/>
  <c r="P48" i="4"/>
  <c r="Q42" i="4" s="1"/>
  <c r="Q25" i="4"/>
  <c r="P39" i="4"/>
  <c r="Q33" i="4" s="1"/>
  <c r="P66" i="4"/>
  <c r="R25" i="3"/>
  <c r="P62" i="3"/>
  <c r="P64" i="3" s="1"/>
  <c r="P48" i="3"/>
  <c r="Q42" i="3" s="1"/>
  <c r="P39" i="3"/>
  <c r="Q33" i="3" s="1"/>
  <c r="O31" i="6" l="1"/>
  <c r="O37" i="6"/>
  <c r="O9" i="7"/>
  <c r="O15" i="7" s="1"/>
  <c r="O24" i="7" s="1"/>
  <c r="O8" i="7"/>
  <c r="O14" i="7" s="1"/>
  <c r="O23" i="7" s="1"/>
  <c r="O36" i="7"/>
  <c r="O37" i="7" s="1"/>
  <c r="N37" i="7"/>
  <c r="O13" i="7"/>
  <c r="N13" i="7"/>
  <c r="N10" i="7"/>
  <c r="O31" i="7"/>
  <c r="O22" i="6"/>
  <c r="O25" i="6" s="1"/>
  <c r="O33" i="6" s="1"/>
  <c r="O16" i="6"/>
  <c r="N31" i="7"/>
  <c r="N16" i="6"/>
  <c r="N40" i="6" s="1"/>
  <c r="N22" i="6"/>
  <c r="N25" i="6" s="1"/>
  <c r="N33" i="6" s="1"/>
  <c r="P66" i="3"/>
  <c r="P29" i="5"/>
  <c r="Q34" i="4"/>
  <c r="Q26" i="4"/>
  <c r="Q27" i="4"/>
  <c r="Q37" i="4" s="1"/>
  <c r="Q56" i="4" s="1"/>
  <c r="Q28" i="4"/>
  <c r="Q45" i="4" s="1"/>
  <c r="Q61" i="4" s="1"/>
  <c r="Q43" i="4"/>
  <c r="Q44" i="4" s="1"/>
  <c r="Q60" i="4" s="1"/>
  <c r="Q34" i="3"/>
  <c r="R28" i="3"/>
  <c r="R45" i="3" s="1"/>
  <c r="R61" i="3" s="1"/>
  <c r="R27" i="3"/>
  <c r="R37" i="3" s="1"/>
  <c r="R56" i="3" s="1"/>
  <c r="R26" i="3"/>
  <c r="R51" i="3" s="1"/>
  <c r="R53" i="3" s="1"/>
  <c r="Q43" i="3"/>
  <c r="Q44" i="3" s="1"/>
  <c r="Q60" i="3" s="1"/>
  <c r="O10" i="7" l="1"/>
  <c r="O40" i="6"/>
  <c r="O39" i="6"/>
  <c r="O43" i="6" s="1"/>
  <c r="O6" i="8" s="1"/>
  <c r="O16" i="7"/>
  <c r="O22" i="7"/>
  <c r="O25" i="7" s="1"/>
  <c r="O33" i="7" s="1"/>
  <c r="N22" i="7"/>
  <c r="N25" i="7" s="1"/>
  <c r="N33" i="7" s="1"/>
  <c r="N16" i="7"/>
  <c r="N40" i="7" s="1"/>
  <c r="N39" i="6"/>
  <c r="N43" i="6"/>
  <c r="N6" i="8" s="1"/>
  <c r="P46" i="5"/>
  <c r="P35" i="5"/>
  <c r="P21" i="6" s="1"/>
  <c r="P21" i="7" s="1"/>
  <c r="P30" i="5"/>
  <c r="P36" i="5" s="1"/>
  <c r="Q51" i="4"/>
  <c r="Q53" i="4" s="1"/>
  <c r="Q27" i="5" s="1"/>
  <c r="Q30" i="4"/>
  <c r="R24" i="4" s="1"/>
  <c r="Q35" i="4"/>
  <c r="Q55" i="4" s="1"/>
  <c r="Q58" i="4" s="1"/>
  <c r="Q36" i="4"/>
  <c r="Q46" i="4" s="1"/>
  <c r="Q62" i="4" s="1"/>
  <c r="Q64" i="4" s="1"/>
  <c r="R30" i="3"/>
  <c r="Q35" i="3"/>
  <c r="Q55" i="3" s="1"/>
  <c r="Q58" i="3" s="1"/>
  <c r="Q36" i="3"/>
  <c r="Q46" i="3" s="1"/>
  <c r="Q62" i="3" s="1"/>
  <c r="Q64" i="3" s="1"/>
  <c r="Q29" i="5" l="1"/>
  <c r="Q35" i="5" s="1"/>
  <c r="Q21" i="6" s="1"/>
  <c r="Q21" i="7" s="1"/>
  <c r="Q28" i="5"/>
  <c r="Q45" i="5" s="1"/>
  <c r="Q48" i="4"/>
  <c r="R42" i="4" s="1"/>
  <c r="R43" i="4" s="1"/>
  <c r="R44" i="4" s="1"/>
  <c r="R60" i="4" s="1"/>
  <c r="P6" i="6"/>
  <c r="P6" i="7" s="1"/>
  <c r="P9" i="7" s="1"/>
  <c r="P15" i="7" s="1"/>
  <c r="P24" i="7" s="1"/>
  <c r="P47" i="5"/>
  <c r="O39" i="7"/>
  <c r="N39" i="7"/>
  <c r="N43" i="7" s="1"/>
  <c r="N7" i="8" s="1"/>
  <c r="N8" i="8" s="1"/>
  <c r="N13" i="8" s="1"/>
  <c r="N14" i="8" s="1"/>
  <c r="O40" i="7"/>
  <c r="Q39" i="4"/>
  <c r="R33" i="4" s="1"/>
  <c r="R34" i="4" s="1"/>
  <c r="Q44" i="5"/>
  <c r="Q33" i="5"/>
  <c r="Q19" i="6" s="1"/>
  <c r="Q19" i="7" s="1"/>
  <c r="R25" i="4"/>
  <c r="Q66" i="4"/>
  <c r="Q66" i="3"/>
  <c r="Q39" i="3"/>
  <c r="R33" i="3" s="1"/>
  <c r="Q48" i="3"/>
  <c r="R42" i="3" s="1"/>
  <c r="Q46" i="5" l="1"/>
  <c r="Q34" i="5"/>
  <c r="Q20" i="6" s="1"/>
  <c r="Q20" i="7" s="1"/>
  <c r="P29" i="6"/>
  <c r="P41" i="6"/>
  <c r="P8" i="6"/>
  <c r="P14" i="6" s="1"/>
  <c r="P23" i="6" s="1"/>
  <c r="P35" i="6"/>
  <c r="O43" i="7"/>
  <c r="O7" i="8" s="1"/>
  <c r="O8" i="8" s="1"/>
  <c r="O13" i="8" s="1"/>
  <c r="O14" i="8" s="1"/>
  <c r="P30" i="6"/>
  <c r="P28" i="6"/>
  <c r="P9" i="6"/>
  <c r="P15" i="6" s="1"/>
  <c r="P24" i="6" s="1"/>
  <c r="P7" i="6"/>
  <c r="P13" i="6" s="1"/>
  <c r="P36" i="6"/>
  <c r="Q30" i="5"/>
  <c r="Q36" i="5" s="1"/>
  <c r="P41" i="7"/>
  <c r="P28" i="7"/>
  <c r="P30" i="7"/>
  <c r="P29" i="7"/>
  <c r="P36" i="7"/>
  <c r="P35" i="7"/>
  <c r="P8" i="7"/>
  <c r="P14" i="7" s="1"/>
  <c r="P23" i="7" s="1"/>
  <c r="P7" i="7"/>
  <c r="Q47" i="5"/>
  <c r="R35" i="4"/>
  <c r="R55" i="4" s="1"/>
  <c r="R36" i="4"/>
  <c r="R46" i="4" s="1"/>
  <c r="R62" i="4" s="1"/>
  <c r="R28" i="4"/>
  <c r="R45" i="4" s="1"/>
  <c r="R61" i="4" s="1"/>
  <c r="R26" i="4"/>
  <c r="R51" i="4" s="1"/>
  <c r="R53" i="4" s="1"/>
  <c r="R27" i="5" s="1"/>
  <c r="R27" i="4"/>
  <c r="R37" i="4" s="1"/>
  <c r="R56" i="4" s="1"/>
  <c r="R34" i="3"/>
  <c r="R43" i="3"/>
  <c r="R44" i="3" s="1"/>
  <c r="R60" i="3" s="1"/>
  <c r="P31" i="6" l="1"/>
  <c r="P37" i="7"/>
  <c r="P10" i="6"/>
  <c r="P37" i="6"/>
  <c r="R64" i="4"/>
  <c r="Q6" i="6"/>
  <c r="P22" i="6"/>
  <c r="P25" i="6" s="1"/>
  <c r="P33" i="6" s="1"/>
  <c r="P16" i="6"/>
  <c r="P40" i="6" s="1"/>
  <c r="P31" i="7"/>
  <c r="R30" i="4"/>
  <c r="P10" i="7"/>
  <c r="P13" i="7"/>
  <c r="R44" i="5"/>
  <c r="R33" i="5"/>
  <c r="R19" i="6" s="1"/>
  <c r="R19" i="7" s="1"/>
  <c r="R48" i="4"/>
  <c r="R39" i="4"/>
  <c r="R58" i="4"/>
  <c r="R66" i="4" s="1"/>
  <c r="R36" i="3"/>
  <c r="R46" i="3" s="1"/>
  <c r="R62" i="3" s="1"/>
  <c r="R64" i="3" s="1"/>
  <c r="R29" i="5" s="1"/>
  <c r="R35" i="3"/>
  <c r="R55" i="3" s="1"/>
  <c r="R58" i="3" s="1"/>
  <c r="Q36" i="6" l="1"/>
  <c r="Q9" i="6"/>
  <c r="Q15" i="6" s="1"/>
  <c r="Q24" i="6" s="1"/>
  <c r="Q7" i="6"/>
  <c r="Q41" i="6"/>
  <c r="Q35" i="6"/>
  <c r="Q6" i="7"/>
  <c r="Q30" i="6"/>
  <c r="Q28" i="6"/>
  <c r="Q29" i="6"/>
  <c r="Q8" i="6"/>
  <c r="Q14" i="6" s="1"/>
  <c r="Q23" i="6" s="1"/>
  <c r="R28" i="5"/>
  <c r="R45" i="5" s="1"/>
  <c r="P16" i="7"/>
  <c r="P40" i="7" s="1"/>
  <c r="P22" i="7"/>
  <c r="P25" i="7" s="1"/>
  <c r="P33" i="7" s="1"/>
  <c r="P39" i="6"/>
  <c r="P43" i="6" s="1"/>
  <c r="P6" i="8" s="1"/>
  <c r="R46" i="5"/>
  <c r="R35" i="5"/>
  <c r="R21" i="6" s="1"/>
  <c r="R21" i="7" s="1"/>
  <c r="R39" i="3"/>
  <c r="R48" i="3"/>
  <c r="R66" i="3"/>
  <c r="Q37" i="6" l="1"/>
  <c r="Q10" i="6"/>
  <c r="Q13" i="6"/>
  <c r="Q7" i="7"/>
  <c r="Q8" i="7"/>
  <c r="Q14" i="7" s="1"/>
  <c r="Q23" i="7" s="1"/>
  <c r="Q28" i="7"/>
  <c r="Q35" i="7"/>
  <c r="Q29" i="7"/>
  <c r="Q30" i="7"/>
  <c r="Q9" i="7"/>
  <c r="Q15" i="7" s="1"/>
  <c r="Q24" i="7" s="1"/>
  <c r="Q41" i="7"/>
  <c r="Q36" i="7"/>
  <c r="Q31" i="6"/>
  <c r="R47" i="5"/>
  <c r="R30" i="5"/>
  <c r="R36" i="5" s="1"/>
  <c r="R34" i="5"/>
  <c r="R20" i="6" s="1"/>
  <c r="R20" i="7" s="1"/>
  <c r="P39" i="7"/>
  <c r="P43" i="7" s="1"/>
  <c r="P7" i="8" s="1"/>
  <c r="P8" i="8" s="1"/>
  <c r="P13" i="8" s="1"/>
  <c r="P14" i="8" s="1"/>
  <c r="Q13" i="7" l="1"/>
  <c r="Q10" i="7"/>
  <c r="R6" i="6"/>
  <c r="R30" i="6" s="1"/>
  <c r="Q37" i="7"/>
  <c r="Q16" i="6"/>
  <c r="Q40" i="6" s="1"/>
  <c r="Q22" i="6"/>
  <c r="Q25" i="6" s="1"/>
  <c r="Q33" i="6" s="1"/>
  <c r="Q39" i="6" s="1"/>
  <c r="Q43" i="6" s="1"/>
  <c r="Q6" i="8" s="1"/>
  <c r="Q31" i="7"/>
  <c r="R28" i="6"/>
  <c r="C24" i="8"/>
  <c r="C25" i="8"/>
  <c r="R35" i="6" l="1"/>
  <c r="R36" i="6"/>
  <c r="R37" i="6" s="1"/>
  <c r="R41" i="6"/>
  <c r="R8" i="6"/>
  <c r="R14" i="6" s="1"/>
  <c r="R23" i="6" s="1"/>
  <c r="R29" i="6"/>
  <c r="R31" i="6" s="1"/>
  <c r="R6" i="7"/>
  <c r="R36" i="7" s="1"/>
  <c r="Q16" i="7"/>
  <c r="Q40" i="7" s="1"/>
  <c r="Q22" i="7"/>
  <c r="Q25" i="7" s="1"/>
  <c r="Q33" i="7" s="1"/>
  <c r="Q39" i="7" s="1"/>
  <c r="R9" i="6"/>
  <c r="R15" i="6" s="1"/>
  <c r="R7" i="6"/>
  <c r="R13" i="6" s="1"/>
  <c r="R41" i="7"/>
  <c r="R8" i="7"/>
  <c r="R14" i="7" s="1"/>
  <c r="R23" i="7" s="1"/>
  <c r="R24" i="6"/>
  <c r="R29" i="7" l="1"/>
  <c r="R28" i="7"/>
  <c r="Q43" i="7"/>
  <c r="Q7" i="8" s="1"/>
  <c r="Q8" i="8" s="1"/>
  <c r="Q13" i="8" s="1"/>
  <c r="Q14" i="8" s="1"/>
  <c r="R35" i="7"/>
  <c r="C30" i="8"/>
  <c r="R9" i="7"/>
  <c r="R15" i="7" s="1"/>
  <c r="R24" i="7" s="1"/>
  <c r="R30" i="7"/>
  <c r="R31" i="7" s="1"/>
  <c r="R10" i="6"/>
  <c r="R7" i="7"/>
  <c r="R13" i="7" s="1"/>
  <c r="C29" i="8" s="1"/>
  <c r="R16" i="6"/>
  <c r="R22" i="6"/>
  <c r="R25" i="6" s="1"/>
  <c r="R33" i="6" s="1"/>
  <c r="R37" i="7"/>
  <c r="C31" i="8" l="1"/>
  <c r="R10" i="7"/>
  <c r="R39" i="6"/>
  <c r="R40" i="6"/>
  <c r="R43" i="6" s="1"/>
  <c r="R6" i="8" s="1"/>
  <c r="R22" i="7"/>
  <c r="R25" i="7" s="1"/>
  <c r="R33" i="7" s="1"/>
  <c r="R16" i="7"/>
  <c r="R40" i="7" s="1"/>
  <c r="C22" i="8" l="1"/>
  <c r="C23" i="8" s="1"/>
  <c r="R39" i="7"/>
  <c r="R43" i="7" s="1"/>
  <c r="R7" i="8" s="1"/>
  <c r="R8" i="8" s="1"/>
  <c r="R13" i="8" l="1"/>
  <c r="R14" i="8" s="1"/>
  <c r="C18" i="8" s="1"/>
  <c r="C26" i="8"/>
</calcChain>
</file>

<file path=xl/sharedStrings.xml><?xml version="1.0" encoding="utf-8"?>
<sst xmlns="http://schemas.openxmlformats.org/spreadsheetml/2006/main" count="309" uniqueCount="215">
  <si>
    <t>PRODUCT SPECIFICATIONS</t>
  </si>
  <si>
    <t>Retail Price ($/bulb)</t>
  </si>
  <si>
    <t>Price Change (% p.a.)</t>
  </si>
  <si>
    <t>Power (Watts)</t>
  </si>
  <si>
    <t>Bulb Life (hrs)</t>
  </si>
  <si>
    <t>Installed Base % (2010)</t>
  </si>
  <si>
    <t>Standard</t>
  </si>
  <si>
    <t>CFL</t>
  </si>
  <si>
    <t>LED</t>
  </si>
  <si>
    <t>PRICE ASSUMPTIONS</t>
  </si>
  <si>
    <t>Base Price 2010 ($/bulb)</t>
  </si>
  <si>
    <t>Annual Change</t>
  </si>
  <si>
    <t>MARKET ASSUMPTIONS</t>
  </si>
  <si>
    <t>Annual usage (hrs/yr)</t>
  </si>
  <si>
    <t>Developed installed base 2010 (m bulbs)</t>
  </si>
  <si>
    <t>Emerging installed base 2010 (m bulbs)</t>
  </si>
  <si>
    <t>New build growth - Developed</t>
  </si>
  <si>
    <t>New build growth - Emerging</t>
  </si>
  <si>
    <t>Incandescent phase-out start (Developed)</t>
  </si>
  <si>
    <t>Incandescent phase-out end (Developed)</t>
  </si>
  <si>
    <t>FINANCIAL ASSUMPTIONS</t>
  </si>
  <si>
    <t>Tax rate</t>
  </si>
  <si>
    <t>WACC (discount rate)</t>
  </si>
  <si>
    <t>NWC as % of revenue</t>
  </si>
  <si>
    <t>Corporate overhead ($m)</t>
  </si>
  <si>
    <t>Experience curve rate</t>
  </si>
  <si>
    <t>GE target market share</t>
  </si>
  <si>
    <t>SWITCHING RATES (2010 BASE)</t>
  </si>
  <si>
    <t>REPLACEMENT MARKET</t>
  </si>
  <si>
    <t>Developed</t>
  </si>
  <si>
    <t>Emerging</t>
  </si>
  <si>
    <t>Std that needs replacing:</t>
  </si>
  <si>
    <t>Stays with Std</t>
  </si>
  <si>
    <t>Switches to CFL</t>
  </si>
  <si>
    <t>Switches to LED</t>
  </si>
  <si>
    <t>CFL that needs replacing:</t>
  </si>
  <si>
    <t>Stays with CFL</t>
  </si>
  <si>
    <t>NEW BUILD MARKET</t>
  </si>
  <si>
    <t>SWITCHING RATE EVOLUTION (annual change in ppts)</t>
  </si>
  <si>
    <t>Std→CFL increase (Developed, ppts/yr)</t>
  </si>
  <si>
    <t>Std→CFL increase (Emerging, ppts/yr)</t>
  </si>
  <si>
    <t>Std→LED increase (starts 2014, ppts/yr)</t>
  </si>
  <si>
    <t>CFL→LED increase (starts 2014, ppts/yr)</t>
  </si>
  <si>
    <t>COMMITTED MANUFACTURING CAPACITY (m bulbs)</t>
  </si>
  <si>
    <t>m bulbs</t>
  </si>
  <si>
    <t>INCANDESCENT</t>
  </si>
  <si>
    <t>GE</t>
  </si>
  <si>
    <t>Philips</t>
  </si>
  <si>
    <t>Osram</t>
  </si>
  <si>
    <t>Other</t>
  </si>
  <si>
    <t>Total</t>
  </si>
  <si>
    <t>NEW CAPACITY ECONOMICS</t>
  </si>
  <si>
    <t>Capital Cost ($k/m bulb cap)</t>
  </si>
  <si>
    <t>Fixed Cost ($k/m bulb cap/yr)</t>
  </si>
  <si>
    <t>Incandescent</t>
  </si>
  <si>
    <t>n/a</t>
  </si>
  <si>
    <t>Rush order premium</t>
  </si>
  <si>
    <t>Others cost premium</t>
  </si>
  <si>
    <t>UTILIZATION-TO-MARGIN RELATIONSHIP</t>
  </si>
  <si>
    <t>Base gross margin % (at ~85% util)</t>
  </si>
  <si>
    <t>Margin sensitivity to utilization</t>
  </si>
  <si>
    <t>Margin change per 1% util change</t>
  </si>
  <si>
    <t>Reference utilization</t>
  </si>
  <si>
    <t>Standard utilization</t>
  </si>
  <si>
    <t>CFL utilization</t>
  </si>
  <si>
    <t>LED utilization</t>
  </si>
  <si>
    <t>same as competitors</t>
  </si>
  <si>
    <t>GE's utilization 2010</t>
  </si>
  <si>
    <t>Industry utilization</t>
  </si>
  <si>
    <t>DEMAND MODEL — DEVELOPED MARKETS</t>
  </si>
  <si>
    <t>PRICE PROJECTIONS ($/bulb)</t>
  </si>
  <si>
    <t>retail price ($/bulb)</t>
  </si>
  <si>
    <t>Developed New Build</t>
  </si>
  <si>
    <t>Developed base standard</t>
  </si>
  <si>
    <t>Developed Base CTL</t>
  </si>
  <si>
    <t>TOTAL DEMAND — DEVELOPED MARKETS (m bulbs)</t>
  </si>
  <si>
    <t>Standard — Replacement</t>
  </si>
  <si>
    <t>Standard — New Build</t>
  </si>
  <si>
    <t>Total Standard Demand</t>
  </si>
  <si>
    <t>CFL — Replacement (stayed CFL)</t>
  </si>
  <si>
    <t>CFL — Inflow from Std switching</t>
  </si>
  <si>
    <t>CFL — New Build</t>
  </si>
  <si>
    <t>Total CFL Demand</t>
  </si>
  <si>
    <t>LED — Replacement (stayed LED)</t>
  </si>
  <si>
    <t>LED — Inflow from Std switching</t>
  </si>
  <si>
    <t>LED — Inflow from CFL switching</t>
  </si>
  <si>
    <t>LED — New Build</t>
  </si>
  <si>
    <t>Total LED Demand</t>
  </si>
  <si>
    <t>TOTAL ALL BULBS</t>
  </si>
  <si>
    <t>DEMAND MODEL — EMERGING MARKETS</t>
  </si>
  <si>
    <t>SWITCHING RATES (Replacement Market)</t>
  </si>
  <si>
    <t>Std→Std</t>
  </si>
  <si>
    <t>Std→CFL</t>
  </si>
  <si>
    <t>Std→LED</t>
  </si>
  <si>
    <t>CFL→CFL</t>
  </si>
  <si>
    <t>CFL→LED</t>
  </si>
  <si>
    <t>SWITCHING RATES (New Build Market)</t>
  </si>
  <si>
    <t>Std (new build)</t>
  </si>
  <si>
    <t>CFL (new build)</t>
  </si>
  <si>
    <t>LED (new build)</t>
  </si>
  <si>
    <t>INSTALLED BASE DYNAMICS (m bulbs)</t>
  </si>
  <si>
    <t>STANDARD</t>
  </si>
  <si>
    <t>Beginning installed base</t>
  </si>
  <si>
    <t>Burnouts</t>
  </si>
  <si>
    <t xml:space="preserve">  → Replaced with Std</t>
  </si>
  <si>
    <t xml:space="preserve">  → Switched to CFL</t>
  </si>
  <si>
    <t xml:space="preserve">  → Switched to LED</t>
  </si>
  <si>
    <t>New build - Standard</t>
  </si>
  <si>
    <t>Ending installed base</t>
  </si>
  <si>
    <t xml:space="preserve">  → Replaced with CFL</t>
  </si>
  <si>
    <t>Inflow from Std switching</t>
  </si>
  <si>
    <t>New build - CFL</t>
  </si>
  <si>
    <t xml:space="preserve">  → Replaced with LED</t>
  </si>
  <si>
    <t>Inflow from CFL switching</t>
  </si>
  <si>
    <t>New build - LED</t>
  </si>
  <si>
    <t>TOTAL DEMAND — EMERGING MARKETS (m bulbs)</t>
  </si>
  <si>
    <t>CFL — Replacement</t>
  </si>
  <si>
    <t>CFL — Inflow from Std</t>
  </si>
  <si>
    <t>LED — Replacement</t>
  </si>
  <si>
    <t>LED — Inflow from Std</t>
  </si>
  <si>
    <t>LED — Inflow from CFL</t>
  </si>
  <si>
    <t>SUPPLY &amp; UTILIZATION MODEL</t>
  </si>
  <si>
    <t>INCANDESCENT CAPACITY</t>
  </si>
  <si>
    <t>Total Incandescent Capacity</t>
  </si>
  <si>
    <t>CFL CAPACITY</t>
  </si>
  <si>
    <t>Total CFL Capacity</t>
  </si>
  <si>
    <t>LED CAPACITY</t>
  </si>
  <si>
    <t>Total LED Capacity</t>
  </si>
  <si>
    <t>GLOBAL DEMAND (m bulbs)</t>
  </si>
  <si>
    <t>Standard Demand</t>
  </si>
  <si>
    <t>CFL Demand</t>
  </si>
  <si>
    <t>LED Demand</t>
  </si>
  <si>
    <t>Total Global Demand</t>
  </si>
  <si>
    <t>CAPACITY UTILIZATION (%)</t>
  </si>
  <si>
    <t>Incandescent Utilization</t>
  </si>
  <si>
    <t>CFL Utilization</t>
  </si>
  <si>
    <t>LED Utilization</t>
  </si>
  <si>
    <t>Overall Industry Utilization</t>
  </si>
  <si>
    <t>GE CAPACITY SHARE (%)</t>
  </si>
  <si>
    <t>GE Incandescent Share</t>
  </si>
  <si>
    <t>GE CFL Share</t>
  </si>
  <si>
    <t>GE LED Share</t>
  </si>
  <si>
    <t>GE DEMAND (m bulbs)</t>
  </si>
  <si>
    <t>GE Standard Demand</t>
  </si>
  <si>
    <t>GE CFL Demand</t>
  </si>
  <si>
    <t>GE LED Demand</t>
  </si>
  <si>
    <t>GE Total Demand</t>
  </si>
  <si>
    <t>GE FINANCIALS — DEVELOPED MARKETS</t>
  </si>
  <si>
    <t>$million</t>
  </si>
  <si>
    <t>GE VOLUME - DEVELOPED (m bulbs)</t>
  </si>
  <si>
    <t>Developed % of global demand</t>
  </si>
  <si>
    <t>GE Standard Volume</t>
  </si>
  <si>
    <t>GE CFL Volume</t>
  </si>
  <si>
    <t>GE LED Volume</t>
  </si>
  <si>
    <t>GE Total Volume - Developed</t>
  </si>
  <si>
    <t>REVENUE ($m)</t>
  </si>
  <si>
    <t>Standard Revenue</t>
  </si>
  <si>
    <t>CFL Revenue</t>
  </si>
  <si>
    <t>LED Revenue</t>
  </si>
  <si>
    <t>Total Revenue</t>
  </si>
  <si>
    <t>GROSS MARGIN</t>
  </si>
  <si>
    <t>Std Gross Margin %</t>
  </si>
  <si>
    <t>CFL Gross Margin %</t>
  </si>
  <si>
    <t>LED Gross Margin %</t>
  </si>
  <si>
    <t>Std Gross Margin $m</t>
  </si>
  <si>
    <t>CFL Gross Margin $m</t>
  </si>
  <si>
    <t>LED Gross Margin $m</t>
  </si>
  <si>
    <t>Total Gross Margin</t>
  </si>
  <si>
    <t>COSTS &amp; FREE CASH FLOW</t>
  </si>
  <si>
    <t>Fixed Plant Costs - Std</t>
  </si>
  <si>
    <t>Fixed Plant Costs - CFL</t>
  </si>
  <si>
    <t>Fixed Plant Costs - LED</t>
  </si>
  <si>
    <t>Total Fixed Costs</t>
  </si>
  <si>
    <t>EBITDA</t>
  </si>
  <si>
    <t>CAPEX - CFL (new capacity)</t>
  </si>
  <si>
    <t>CAPEX - LED (new capacity)</t>
  </si>
  <si>
    <t>Total CAPEX</t>
  </si>
  <si>
    <t>Cash Taxes (25%)</t>
  </si>
  <si>
    <t>Change in Working Capital</t>
  </si>
  <si>
    <t>Corporate Overhead (allocated)</t>
  </si>
  <si>
    <t>FREE CASH FLOW - DEVELOPED</t>
  </si>
  <si>
    <t>GE FINANCIALS — EMERGING MARKETS</t>
  </si>
  <si>
    <t>GE VOLUME - EMERGING (m bulbs)</t>
  </si>
  <si>
    <t>Emerging % of global demand</t>
  </si>
  <si>
    <t>GE Total Volume - Emerging</t>
  </si>
  <si>
    <t>CAPEX - CFL</t>
  </si>
  <si>
    <t>CAPEX - LED</t>
  </si>
  <si>
    <t>FREE CASH FLOW - EMERGING</t>
  </si>
  <si>
    <t>NPV &amp; DASHBOARD</t>
  </si>
  <si>
    <t>CONSOLIDATED FREE CASH FLOW</t>
  </si>
  <si>
    <t>FCF - Developed Markets</t>
  </si>
  <si>
    <t>FCF - Emerging Markets</t>
  </si>
  <si>
    <t>Total Free Cash Flow</t>
  </si>
  <si>
    <t>NPV CALCULATION</t>
  </si>
  <si>
    <t>Year Number</t>
  </si>
  <si>
    <t>Discount Factor (WACC=10%)</t>
  </si>
  <si>
    <t>PV of Cash Flow</t>
  </si>
  <si>
    <t>Cumulative PV</t>
  </si>
  <si>
    <t>KEY OUTPUTS</t>
  </si>
  <si>
    <t>NPV of GE Lighting Division (2010-2025)</t>
  </si>
  <si>
    <t>SUMMARY METRICS</t>
  </si>
  <si>
    <t>Total Revenue (2010)</t>
  </si>
  <si>
    <t>Total Revenue (2025)</t>
  </si>
  <si>
    <t>Revenue CAGR</t>
  </si>
  <si>
    <t>Peak Industry Utilization</t>
  </si>
  <si>
    <t>Trough Industry Utilization</t>
  </si>
  <si>
    <t>Total FCF (undiscounted)</t>
  </si>
  <si>
    <t>NPV BY PRODUCT LINE</t>
  </si>
  <si>
    <t>Standard Bulbs - Total Revenue</t>
  </si>
  <si>
    <t>CFL Bulbs - Total Revenue</t>
  </si>
  <si>
    <t>LED Bulbs - Total Revenue</t>
  </si>
  <si>
    <t>Developed Switching</t>
  </si>
  <si>
    <t>Aaron notes:</t>
  </si>
  <si>
    <t>Net Working Capital averages 5% of revenue</t>
  </si>
  <si>
    <t>Tax rate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</si>
</sst>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0.0%"/>
    <numFmt numFmtId="166" formatCode="&quot;$&quot;#,##0"/>
    <numFmt numFmtId="167" formatCode="&quot;$&quot;#,##0.0"/>
    <numFmt numFmtId="168" formatCode="&quot;$&quot;#,##0.0;\(&quot;$&quot;#,##0.0\);\-"/>
    <numFmt numFmtId="169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3" fontId="3" fillId="3" borderId="0" xfId="0" applyNumberFormat="1" applyFont="1" applyFill="1"/>
    <xf numFmtId="165" fontId="3" fillId="3" borderId="0" xfId="0" applyNumberFormat="1" applyFont="1" applyFill="1"/>
    <xf numFmtId="166" fontId="3" fillId="0" borderId="0" xfId="0" applyNumberFormat="1" applyFont="1"/>
    <xf numFmtId="10" fontId="3" fillId="0" borderId="0" xfId="0" applyNumberFormat="1" applyFont="1"/>
    <xf numFmtId="167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1" fontId="1" fillId="0" borderId="0" xfId="0" applyNumberFormat="1" applyFont="1"/>
    <xf numFmtId="3" fontId="0" fillId="0" borderId="0" xfId="0" applyNumberFormat="1"/>
    <xf numFmtId="3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3" fontId="1" fillId="0" borderId="1" xfId="0" applyNumberFormat="1" applyFont="1" applyBorder="1"/>
    <xf numFmtId="0" fontId="1" fillId="0" borderId="2" xfId="0" applyFont="1" applyBorder="1"/>
    <xf numFmtId="0" fontId="0" fillId="0" borderId="2" xfId="0" applyBorder="1"/>
    <xf numFmtId="3" fontId="1" fillId="0" borderId="2" xfId="0" applyNumberFormat="1" applyFont="1" applyBorder="1"/>
    <xf numFmtId="167" fontId="0" fillId="0" borderId="0" xfId="0" applyNumberFormat="1"/>
    <xf numFmtId="168" fontId="0" fillId="0" borderId="0" xfId="0" applyNumberFormat="1"/>
    <xf numFmtId="168" fontId="1" fillId="0" borderId="0" xfId="0" applyNumberFormat="1" applyFont="1"/>
    <xf numFmtId="168" fontId="1" fillId="0" borderId="2" xfId="0" applyNumberFormat="1" applyFont="1" applyBorder="1"/>
    <xf numFmtId="1" fontId="0" fillId="0" borderId="0" xfId="0" applyNumberFormat="1"/>
    <xf numFmtId="169" fontId="0" fillId="0" borderId="0" xfId="0" applyNumberFormat="1"/>
    <xf numFmtId="0" fontId="0" fillId="4" borderId="0" xfId="0" applyFill="1"/>
    <xf numFmtId="0" fontId="5" fillId="4" borderId="0" xfId="0" applyFont="1" applyFill="1"/>
    <xf numFmtId="0" fontId="6" fillId="0" borderId="0" xfId="0" applyFont="1"/>
    <xf numFmtId="167" fontId="4" fillId="3" borderId="0" xfId="0" applyNumberFormat="1" applyFont="1" applyFill="1"/>
    <xf numFmtId="9" fontId="0" fillId="0" borderId="0" xfId="0" applyNumberFormat="1"/>
    <xf numFmtId="1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8E29A9-2C8F-4026-9FAC-C47070724E95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9722-6D61-4C4A-98AE-2CCD2378A513}">
  <sheetPr>
    <tabColor rgb="FF0000FF"/>
  </sheetPr>
  <dimension ref="A1:Q94"/>
  <sheetViews>
    <sheetView topLeftCell="A3" workbookViewId="0">
      <selection activeCell="C16" sqref="C16"/>
    </sheetView>
  </sheetViews>
  <sheetFormatPr defaultRowHeight="14.4" x14ac:dyDescent="0.3"/>
  <cols>
    <col min="1" max="1" width="37" customWidth="1"/>
    <col min="2" max="2" width="33.44140625" customWidth="1"/>
    <col min="3" max="8" width="24.109375" customWidth="1"/>
  </cols>
  <sheetData>
    <row r="1" spans="1:7" ht="18" x14ac:dyDescent="0.35">
      <c r="A1" s="1">
        <v>0.01</v>
      </c>
    </row>
    <row r="3" spans="1:7" x14ac:dyDescent="0.3">
      <c r="A3" s="3" t="s">
        <v>0</v>
      </c>
      <c r="B3" s="4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1:7" x14ac:dyDescent="0.3">
      <c r="B4" t="s">
        <v>6</v>
      </c>
      <c r="C4" s="6">
        <v>0.5</v>
      </c>
      <c r="D4" s="7">
        <v>0</v>
      </c>
      <c r="E4" s="5">
        <v>60</v>
      </c>
      <c r="F4" s="8">
        <v>1000</v>
      </c>
      <c r="G4" s="7">
        <v>0.82</v>
      </c>
    </row>
    <row r="5" spans="1:7" x14ac:dyDescent="0.3">
      <c r="B5" t="s">
        <v>7</v>
      </c>
      <c r="C5" s="6">
        <v>3</v>
      </c>
      <c r="D5" s="7">
        <v>-0.04</v>
      </c>
      <c r="E5" s="5">
        <v>15</v>
      </c>
      <c r="F5" s="8">
        <v>8000</v>
      </c>
      <c r="G5" s="7">
        <v>0.17</v>
      </c>
    </row>
    <row r="6" spans="1:7" x14ac:dyDescent="0.3">
      <c r="B6" t="s">
        <v>8</v>
      </c>
      <c r="C6" s="6">
        <v>40</v>
      </c>
      <c r="D6" s="7">
        <v>-0.1</v>
      </c>
      <c r="E6" s="5">
        <v>7</v>
      </c>
      <c r="F6" s="8">
        <v>50000</v>
      </c>
      <c r="G6" s="7">
        <v>0.01</v>
      </c>
    </row>
    <row r="8" spans="1:7" x14ac:dyDescent="0.3">
      <c r="A8" s="3" t="s">
        <v>9</v>
      </c>
      <c r="B8" s="4"/>
    </row>
    <row r="9" spans="1:7" x14ac:dyDescent="0.3">
      <c r="B9" t="s">
        <v>6</v>
      </c>
      <c r="C9" s="3" t="s">
        <v>10</v>
      </c>
      <c r="D9" s="3" t="s">
        <v>11</v>
      </c>
      <c r="E9" s="4"/>
    </row>
    <row r="10" spans="1:7" x14ac:dyDescent="0.3">
      <c r="B10" t="s">
        <v>7</v>
      </c>
      <c r="C10" s="9">
        <f t="shared" ref="C10:D12" si="0">C4</f>
        <v>0.5</v>
      </c>
      <c r="D10" s="10">
        <f t="shared" si="0"/>
        <v>0</v>
      </c>
    </row>
    <row r="11" spans="1:7" x14ac:dyDescent="0.3">
      <c r="B11" t="s">
        <v>8</v>
      </c>
      <c r="C11" s="9">
        <f t="shared" si="0"/>
        <v>3</v>
      </c>
      <c r="D11" s="10">
        <f t="shared" si="0"/>
        <v>-0.04</v>
      </c>
    </row>
    <row r="12" spans="1:7" x14ac:dyDescent="0.3">
      <c r="C12" s="9">
        <f t="shared" si="0"/>
        <v>40</v>
      </c>
      <c r="D12" s="10">
        <f t="shared" si="0"/>
        <v>-0.1</v>
      </c>
    </row>
    <row r="13" spans="1:7" x14ac:dyDescent="0.3">
      <c r="A13" s="3" t="s">
        <v>12</v>
      </c>
      <c r="B13" s="4"/>
    </row>
    <row r="14" spans="1:7" x14ac:dyDescent="0.3">
      <c r="B14" t="s">
        <v>13</v>
      </c>
      <c r="C14" s="4"/>
    </row>
    <row r="15" spans="1:7" x14ac:dyDescent="0.3">
      <c r="B15" t="s">
        <v>14</v>
      </c>
      <c r="C15" s="8">
        <v>1100</v>
      </c>
    </row>
    <row r="16" spans="1:7" x14ac:dyDescent="0.3">
      <c r="B16" t="s">
        <v>15</v>
      </c>
      <c r="C16" s="11">
        <v>4500</v>
      </c>
    </row>
    <row r="17" spans="1:8" x14ac:dyDescent="0.3">
      <c r="B17" t="s">
        <v>16</v>
      </c>
      <c r="C17" s="11">
        <v>6000</v>
      </c>
    </row>
    <row r="18" spans="1:8" x14ac:dyDescent="0.3">
      <c r="B18" t="s">
        <v>17</v>
      </c>
      <c r="C18" s="12">
        <v>0.01</v>
      </c>
    </row>
    <row r="19" spans="1:8" x14ac:dyDescent="0.3">
      <c r="B19" t="s">
        <v>18</v>
      </c>
      <c r="C19" s="12">
        <v>0.04</v>
      </c>
    </row>
    <row r="20" spans="1:8" x14ac:dyDescent="0.3">
      <c r="B20" t="s">
        <v>19</v>
      </c>
      <c r="C20" s="5">
        <v>2014</v>
      </c>
    </row>
    <row r="21" spans="1:8" x14ac:dyDescent="0.3">
      <c r="C21" s="5">
        <v>2018</v>
      </c>
    </row>
    <row r="22" spans="1:8" x14ac:dyDescent="0.3">
      <c r="A22" s="3" t="s">
        <v>20</v>
      </c>
      <c r="B22" s="4"/>
    </row>
    <row r="23" spans="1:8" x14ac:dyDescent="0.3">
      <c r="B23" t="s">
        <v>21</v>
      </c>
      <c r="C23" s="4"/>
    </row>
    <row r="24" spans="1:8" x14ac:dyDescent="0.3">
      <c r="B24" t="s">
        <v>22</v>
      </c>
      <c r="C24" s="7">
        <v>0.25</v>
      </c>
    </row>
    <row r="25" spans="1:8" x14ac:dyDescent="0.3">
      <c r="B25" t="s">
        <v>23</v>
      </c>
      <c r="C25" s="7">
        <v>0.1</v>
      </c>
    </row>
    <row r="26" spans="1:8" x14ac:dyDescent="0.3">
      <c r="B26" t="s">
        <v>24</v>
      </c>
      <c r="C26" s="7">
        <v>0.05</v>
      </c>
    </row>
    <row r="27" spans="1:8" x14ac:dyDescent="0.3">
      <c r="B27" t="s">
        <v>25</v>
      </c>
      <c r="C27" s="13">
        <v>6</v>
      </c>
    </row>
    <row r="28" spans="1:8" x14ac:dyDescent="0.3">
      <c r="B28" t="s">
        <v>26</v>
      </c>
      <c r="C28" s="7">
        <v>0.85</v>
      </c>
    </row>
    <row r="29" spans="1:8" x14ac:dyDescent="0.3">
      <c r="C29" s="7">
        <v>0.25</v>
      </c>
    </row>
    <row r="31" spans="1:8" x14ac:dyDescent="0.3">
      <c r="A31" s="3" t="s">
        <v>27</v>
      </c>
      <c r="B31" s="4"/>
      <c r="C31" s="4"/>
      <c r="D31" s="4"/>
      <c r="E31" s="4"/>
      <c r="F31" s="4"/>
      <c r="G31" s="4"/>
      <c r="H31" s="4"/>
    </row>
    <row r="32" spans="1:8" x14ac:dyDescent="0.3">
      <c r="A32" t="s">
        <v>28</v>
      </c>
      <c r="E32" s="2" t="s">
        <v>29</v>
      </c>
      <c r="H32" s="2" t="s">
        <v>30</v>
      </c>
    </row>
    <row r="33" spans="1:8" x14ac:dyDescent="0.3">
      <c r="A33" t="s">
        <v>31</v>
      </c>
    </row>
    <row r="34" spans="1:8" x14ac:dyDescent="0.3">
      <c r="B34" t="s">
        <v>32</v>
      </c>
      <c r="E34" s="7">
        <v>0.87</v>
      </c>
      <c r="H34" s="7">
        <v>0.96</v>
      </c>
    </row>
    <row r="35" spans="1:8" x14ac:dyDescent="0.3">
      <c r="B35" t="s">
        <v>33</v>
      </c>
      <c r="E35" s="7">
        <v>0.12</v>
      </c>
      <c r="H35" s="7">
        <v>0.04</v>
      </c>
    </row>
    <row r="36" spans="1:8" x14ac:dyDescent="0.3">
      <c r="B36" t="s">
        <v>34</v>
      </c>
      <c r="E36" s="7">
        <v>0.01</v>
      </c>
      <c r="H36" s="14">
        <v>3.0000000000000001E-3</v>
      </c>
    </row>
    <row r="37" spans="1:8" x14ac:dyDescent="0.3">
      <c r="A37" t="s">
        <v>35</v>
      </c>
    </row>
    <row r="38" spans="1:8" x14ac:dyDescent="0.3">
      <c r="B38" t="s">
        <v>36</v>
      </c>
      <c r="E38" s="7">
        <v>1</v>
      </c>
      <c r="H38" s="7">
        <v>1</v>
      </c>
    </row>
    <row r="39" spans="1:8" x14ac:dyDescent="0.3">
      <c r="B39" t="s">
        <v>34</v>
      </c>
      <c r="E39" s="7">
        <v>0</v>
      </c>
      <c r="H39" s="7">
        <v>0</v>
      </c>
    </row>
    <row r="41" spans="1:8" x14ac:dyDescent="0.3">
      <c r="A41" t="s">
        <v>37</v>
      </c>
      <c r="E41" s="2" t="s">
        <v>29</v>
      </c>
      <c r="H41" s="2" t="s">
        <v>30</v>
      </c>
    </row>
    <row r="42" spans="1:8" x14ac:dyDescent="0.3">
      <c r="B42" t="s">
        <v>6</v>
      </c>
      <c r="E42" s="7">
        <v>0.74</v>
      </c>
      <c r="H42" s="7">
        <v>0.92</v>
      </c>
    </row>
    <row r="43" spans="1:8" x14ac:dyDescent="0.3">
      <c r="B43" t="s">
        <v>7</v>
      </c>
      <c r="E43" s="7">
        <v>0.23</v>
      </c>
      <c r="H43" s="7">
        <v>0.08</v>
      </c>
    </row>
    <row r="44" spans="1:8" x14ac:dyDescent="0.3">
      <c r="B44" t="s">
        <v>8</v>
      </c>
      <c r="E44" s="7">
        <v>0.03</v>
      </c>
      <c r="H44" s="14">
        <v>1.1999999999999999E-3</v>
      </c>
    </row>
    <row r="46" spans="1:8" x14ac:dyDescent="0.3">
      <c r="A46" s="3" t="s">
        <v>38</v>
      </c>
      <c r="B46" s="4"/>
      <c r="C46" s="4"/>
      <c r="D46" s="4"/>
      <c r="E46" s="4"/>
      <c r="F46" s="4"/>
      <c r="G46" s="4"/>
      <c r="H46" s="4"/>
    </row>
    <row r="47" spans="1:8" x14ac:dyDescent="0.3">
      <c r="B47" t="s">
        <v>39</v>
      </c>
      <c r="E47" s="12">
        <v>0.02</v>
      </c>
    </row>
    <row r="48" spans="1:8" x14ac:dyDescent="0.3">
      <c r="B48" t="s">
        <v>40</v>
      </c>
      <c r="H48" s="12">
        <v>0.01</v>
      </c>
    </row>
    <row r="49" spans="1:17" x14ac:dyDescent="0.3">
      <c r="B49" t="s">
        <v>41</v>
      </c>
      <c r="E49" s="12">
        <v>0.01</v>
      </c>
      <c r="H49" s="12">
        <v>5.0000000000000001E-3</v>
      </c>
    </row>
    <row r="50" spans="1:17" x14ac:dyDescent="0.3">
      <c r="B50" t="s">
        <v>42</v>
      </c>
      <c r="E50" s="12">
        <v>0.03</v>
      </c>
      <c r="H50" s="12">
        <v>1.4999999999999999E-2</v>
      </c>
    </row>
    <row r="52" spans="1:17" x14ac:dyDescent="0.3">
      <c r="A52" s="3" t="s">
        <v>43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">
      <c r="A53" t="s">
        <v>44</v>
      </c>
      <c r="C53" s="2">
        <v>2009</v>
      </c>
      <c r="D53" s="2">
        <v>2010</v>
      </c>
      <c r="E53" s="2">
        <v>2011</v>
      </c>
      <c r="F53" s="2">
        <v>2012</v>
      </c>
    </row>
    <row r="54" spans="1:17" x14ac:dyDescent="0.3">
      <c r="A54" s="2" t="s">
        <v>45</v>
      </c>
      <c r="B54" t="s">
        <v>46</v>
      </c>
      <c r="C54" s="5">
        <v>2500</v>
      </c>
      <c r="D54" s="5">
        <v>2300</v>
      </c>
      <c r="E54" s="5">
        <v>2250</v>
      </c>
      <c r="F54" s="5">
        <v>2150</v>
      </c>
    </row>
    <row r="55" spans="1:17" x14ac:dyDescent="0.3">
      <c r="B55" t="s">
        <v>47</v>
      </c>
      <c r="C55" s="5">
        <v>2500</v>
      </c>
      <c r="D55" s="5">
        <v>2200</v>
      </c>
      <c r="E55" s="5">
        <v>1800</v>
      </c>
      <c r="F55" s="5">
        <v>1500</v>
      </c>
    </row>
    <row r="56" spans="1:17" x14ac:dyDescent="0.3">
      <c r="B56" t="s">
        <v>48</v>
      </c>
      <c r="C56" s="5">
        <v>3000</v>
      </c>
      <c r="D56" s="5">
        <v>2700</v>
      </c>
      <c r="E56" s="5">
        <v>2600</v>
      </c>
      <c r="F56" s="5">
        <v>2300</v>
      </c>
    </row>
    <row r="57" spans="1:17" x14ac:dyDescent="0.3">
      <c r="B57" t="s">
        <v>49</v>
      </c>
      <c r="C57" s="5">
        <v>2000</v>
      </c>
      <c r="D57" s="5">
        <v>2000</v>
      </c>
      <c r="E57" s="5">
        <v>1900</v>
      </c>
      <c r="F57" s="5">
        <v>1800</v>
      </c>
    </row>
    <row r="58" spans="1:17" x14ac:dyDescent="0.3">
      <c r="B58" s="2" t="s">
        <v>50</v>
      </c>
      <c r="C58">
        <f>SUM(C54:C57)</f>
        <v>10000</v>
      </c>
      <c r="D58">
        <f>SUM(D54:D57)</f>
        <v>9200</v>
      </c>
      <c r="E58">
        <f>SUM(E54:E57)</f>
        <v>8550</v>
      </c>
      <c r="F58">
        <f>SUM(F54:F57)</f>
        <v>7750</v>
      </c>
    </row>
    <row r="60" spans="1:17" x14ac:dyDescent="0.3">
      <c r="A60" s="2" t="s">
        <v>7</v>
      </c>
      <c r="B60" t="s">
        <v>46</v>
      </c>
      <c r="C60" s="5">
        <v>200</v>
      </c>
      <c r="D60" s="5">
        <v>300</v>
      </c>
      <c r="E60" s="5">
        <v>500</v>
      </c>
      <c r="F60" s="5">
        <v>700</v>
      </c>
    </row>
    <row r="61" spans="1:17" x14ac:dyDescent="0.3">
      <c r="B61" t="s">
        <v>47</v>
      </c>
      <c r="C61" s="5">
        <v>140</v>
      </c>
      <c r="D61" s="5">
        <v>180</v>
      </c>
      <c r="E61" s="5">
        <v>220</v>
      </c>
      <c r="F61" s="5">
        <v>400</v>
      </c>
    </row>
    <row r="62" spans="1:17" x14ac:dyDescent="0.3">
      <c r="B62" t="s">
        <v>48</v>
      </c>
      <c r="C62" s="5">
        <v>280</v>
      </c>
      <c r="D62" s="5">
        <v>360</v>
      </c>
      <c r="E62" s="5">
        <v>450</v>
      </c>
      <c r="F62" s="5">
        <v>650</v>
      </c>
    </row>
    <row r="63" spans="1:17" x14ac:dyDescent="0.3">
      <c r="B63" t="s">
        <v>49</v>
      </c>
      <c r="C63" s="5">
        <v>105</v>
      </c>
      <c r="D63" s="5">
        <v>120</v>
      </c>
      <c r="E63" s="5">
        <v>150</v>
      </c>
      <c r="F63" s="5">
        <v>200</v>
      </c>
    </row>
    <row r="64" spans="1:17" x14ac:dyDescent="0.3">
      <c r="B64" s="2" t="s">
        <v>50</v>
      </c>
      <c r="C64">
        <f>SUM(C60:C63)</f>
        <v>725</v>
      </c>
      <c r="D64">
        <f>SUM(D60:D63)</f>
        <v>960</v>
      </c>
      <c r="E64">
        <f>SUM(E60:E63)</f>
        <v>1320</v>
      </c>
      <c r="F64">
        <f>SUM(F60:F63)</f>
        <v>1950</v>
      </c>
    </row>
    <row r="66" spans="1:6" x14ac:dyDescent="0.3">
      <c r="A66" s="2" t="s">
        <v>8</v>
      </c>
      <c r="B66" t="s">
        <v>46</v>
      </c>
      <c r="C66" s="5">
        <v>5</v>
      </c>
      <c r="D66" s="5">
        <v>10</v>
      </c>
      <c r="E66" s="5">
        <v>25</v>
      </c>
      <c r="F66" s="5">
        <v>60</v>
      </c>
    </row>
    <row r="67" spans="1:6" x14ac:dyDescent="0.3">
      <c r="B67" t="s">
        <v>47</v>
      </c>
      <c r="C67" s="5">
        <v>4</v>
      </c>
      <c r="D67" s="5">
        <v>10</v>
      </c>
      <c r="E67" s="5">
        <v>45</v>
      </c>
      <c r="F67" s="5">
        <v>100</v>
      </c>
    </row>
    <row r="68" spans="1:6" x14ac:dyDescent="0.3">
      <c r="B68" t="s">
        <v>48</v>
      </c>
      <c r="C68" s="5">
        <v>5</v>
      </c>
      <c r="D68" s="5">
        <v>15</v>
      </c>
      <c r="E68" s="5">
        <v>35</v>
      </c>
      <c r="F68" s="5">
        <v>80</v>
      </c>
    </row>
    <row r="69" spans="1:6" x14ac:dyDescent="0.3">
      <c r="B69" t="s">
        <v>49</v>
      </c>
      <c r="C69" s="5">
        <v>10</v>
      </c>
      <c r="D69" s="5">
        <v>20</v>
      </c>
      <c r="E69" s="5">
        <v>40</v>
      </c>
      <c r="F69" s="5">
        <v>60</v>
      </c>
    </row>
    <row r="70" spans="1:6" x14ac:dyDescent="0.3">
      <c r="B70" s="2" t="s">
        <v>50</v>
      </c>
      <c r="C70">
        <f>SUM(C66:C69)</f>
        <v>24</v>
      </c>
      <c r="D70">
        <f>SUM(D66:D69)</f>
        <v>55</v>
      </c>
      <c r="E70">
        <f>SUM(E66:E69)</f>
        <v>145</v>
      </c>
      <c r="F70">
        <f>SUM(F66:F69)</f>
        <v>300</v>
      </c>
    </row>
    <row r="72" spans="1:6" x14ac:dyDescent="0.3">
      <c r="A72" s="3" t="s">
        <v>51</v>
      </c>
      <c r="B72" s="4"/>
      <c r="C72" s="4"/>
      <c r="D72" s="4"/>
      <c r="E72" s="4"/>
      <c r="F72" s="4"/>
    </row>
    <row r="73" spans="1:6" x14ac:dyDescent="0.3">
      <c r="C73" s="2" t="s">
        <v>52</v>
      </c>
      <c r="D73" s="2" t="s">
        <v>53</v>
      </c>
    </row>
    <row r="74" spans="1:6" x14ac:dyDescent="0.3">
      <c r="A74" t="s">
        <v>54</v>
      </c>
      <c r="C74" t="s">
        <v>55</v>
      </c>
      <c r="D74" s="15">
        <v>17.3</v>
      </c>
    </row>
    <row r="75" spans="1:6" x14ac:dyDescent="0.3">
      <c r="A75" t="s">
        <v>7</v>
      </c>
      <c r="C75" s="13">
        <v>600</v>
      </c>
      <c r="D75" s="15">
        <v>90</v>
      </c>
    </row>
    <row r="76" spans="1:6" x14ac:dyDescent="0.3">
      <c r="A76" t="s">
        <v>8</v>
      </c>
      <c r="C76" s="13">
        <v>4000</v>
      </c>
      <c r="D76" s="13">
        <v>1500</v>
      </c>
    </row>
    <row r="77" spans="1:6" x14ac:dyDescent="0.3">
      <c r="A77" t="s">
        <v>56</v>
      </c>
      <c r="C77" s="16">
        <v>0.2</v>
      </c>
    </row>
    <row r="78" spans="1:6" x14ac:dyDescent="0.3">
      <c r="A78" t="s">
        <v>57</v>
      </c>
      <c r="C78" s="16">
        <v>0.15</v>
      </c>
    </row>
    <row r="80" spans="1:6" x14ac:dyDescent="0.3">
      <c r="A80" s="3" t="s">
        <v>58</v>
      </c>
      <c r="B80" s="4"/>
      <c r="C80" s="4"/>
      <c r="D80" s="4"/>
    </row>
    <row r="81" spans="1:4" x14ac:dyDescent="0.3">
      <c r="A81" t="s">
        <v>59</v>
      </c>
      <c r="C81" s="2"/>
      <c r="D81" s="2"/>
    </row>
    <row r="82" spans="1:4" x14ac:dyDescent="0.3">
      <c r="B82" t="s">
        <v>6</v>
      </c>
      <c r="C82" s="7">
        <v>0.13</v>
      </c>
      <c r="D82" s="37"/>
    </row>
    <row r="83" spans="1:4" x14ac:dyDescent="0.3">
      <c r="B83" t="s">
        <v>7</v>
      </c>
      <c r="C83" s="7">
        <v>0.18</v>
      </c>
    </row>
    <row r="84" spans="1:4" x14ac:dyDescent="0.3">
      <c r="B84" t="s">
        <v>8</v>
      </c>
      <c r="C84" s="7">
        <v>0.2</v>
      </c>
    </row>
    <row r="85" spans="1:4" x14ac:dyDescent="0.3">
      <c r="A85" t="s">
        <v>60</v>
      </c>
    </row>
    <row r="86" spans="1:4" x14ac:dyDescent="0.3">
      <c r="B86" t="s">
        <v>61</v>
      </c>
      <c r="C86" s="12">
        <v>5.0000000000000001E-3</v>
      </c>
    </row>
    <row r="87" spans="1:4" x14ac:dyDescent="0.3">
      <c r="B87" t="s">
        <v>62</v>
      </c>
      <c r="C87" s="7">
        <v>0.85</v>
      </c>
    </row>
    <row r="89" spans="1:4" x14ac:dyDescent="0.3">
      <c r="B89" t="s">
        <v>63</v>
      </c>
      <c r="C89">
        <v>57</v>
      </c>
    </row>
    <row r="90" spans="1:4" x14ac:dyDescent="0.3">
      <c r="B90" t="s">
        <v>64</v>
      </c>
      <c r="C90">
        <v>47</v>
      </c>
    </row>
    <row r="91" spans="1:4" x14ac:dyDescent="0.3">
      <c r="B91" t="s">
        <v>65</v>
      </c>
    </row>
    <row r="93" spans="1:4" x14ac:dyDescent="0.3">
      <c r="A93" t="s">
        <v>66</v>
      </c>
      <c r="B93" t="s">
        <v>67</v>
      </c>
      <c r="C93" s="38">
        <v>0.56054590000000004</v>
      </c>
    </row>
    <row r="94" spans="1:4" x14ac:dyDescent="0.3">
      <c r="B9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C24F-5982-48C1-93C2-6C08FB2C4A18}">
  <sheetPr>
    <tabColor rgb="FF008000"/>
  </sheetPr>
  <dimension ref="A1:R67"/>
  <sheetViews>
    <sheetView topLeftCell="C4" workbookViewId="0">
      <selection activeCell="D32" sqref="D32"/>
    </sheetView>
  </sheetViews>
  <sheetFormatPr defaultRowHeight="14.4" x14ac:dyDescent="0.3"/>
  <cols>
    <col min="1" max="1" width="37" customWidth="1"/>
    <col min="2" max="2" width="3.6640625" customWidth="1"/>
    <col min="3" max="3" width="9.109375" customWidth="1"/>
    <col min="4" max="18" width="15.6640625" customWidth="1"/>
  </cols>
  <sheetData>
    <row r="1" spans="1:18" ht="18" x14ac:dyDescent="0.35">
      <c r="A1" s="17" t="s">
        <v>69</v>
      </c>
    </row>
    <row r="3" spans="1:18" x14ac:dyDescent="0.3">
      <c r="A3" s="2" t="s">
        <v>44</v>
      </c>
      <c r="C3" s="18">
        <v>2010</v>
      </c>
      <c r="D3" s="18">
        <v>2011</v>
      </c>
      <c r="E3" s="18">
        <v>2012</v>
      </c>
      <c r="F3" s="18">
        <v>2013</v>
      </c>
      <c r="G3" s="18">
        <v>2014</v>
      </c>
      <c r="H3" s="18">
        <v>2015</v>
      </c>
      <c r="I3" s="18">
        <v>2016</v>
      </c>
      <c r="J3" s="18">
        <v>2017</v>
      </c>
      <c r="K3" s="18">
        <v>2018</v>
      </c>
      <c r="L3" s="18">
        <v>2019</v>
      </c>
      <c r="M3" s="18">
        <v>2020</v>
      </c>
      <c r="N3" s="18">
        <v>2021</v>
      </c>
      <c r="O3" s="18">
        <v>2022</v>
      </c>
      <c r="P3" s="18">
        <v>2023</v>
      </c>
      <c r="Q3" s="18">
        <v>2024</v>
      </c>
      <c r="R3" s="18">
        <v>2025</v>
      </c>
    </row>
    <row r="5" spans="1:18" x14ac:dyDescent="0.3">
      <c r="A5" s="3" t="s">
        <v>70</v>
      </c>
      <c r="B5" s="4"/>
      <c r="C5" s="4" t="s">
        <v>71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t="s">
        <v>6</v>
      </c>
      <c r="C6" s="9">
        <f>Assumptions!C4</f>
        <v>0.5</v>
      </c>
      <c r="D6" s="9">
        <f>C6*(1+Assumptions!$D$4)</f>
        <v>0.5</v>
      </c>
      <c r="E6" s="9">
        <f>D6*(1+Assumptions!$D$4)</f>
        <v>0.5</v>
      </c>
      <c r="F6" s="9">
        <f>E6*(1+Assumptions!$D$4)</f>
        <v>0.5</v>
      </c>
      <c r="G6" s="9">
        <f>F6*(1+Assumptions!$D$4)</f>
        <v>0.5</v>
      </c>
      <c r="H6" s="9">
        <f>G6*(1+Assumptions!$D$4)</f>
        <v>0.5</v>
      </c>
      <c r="I6" s="9">
        <f>H6*(1+Assumptions!$D$4)</f>
        <v>0.5</v>
      </c>
      <c r="J6" s="9">
        <f>I6*(1+Assumptions!$D$4)</f>
        <v>0.5</v>
      </c>
      <c r="K6" s="9">
        <f>J6*(1+Assumptions!$D$4)</f>
        <v>0.5</v>
      </c>
      <c r="L6" s="9">
        <f>K6*(1+Assumptions!$D$4)</f>
        <v>0.5</v>
      </c>
      <c r="M6" s="9">
        <f>L6*(1+Assumptions!$D$4)</f>
        <v>0.5</v>
      </c>
      <c r="N6" s="9">
        <f>M6*(1+Assumptions!$D$4)</f>
        <v>0.5</v>
      </c>
      <c r="O6" s="9">
        <f>N6*(1+Assumptions!$D$4)</f>
        <v>0.5</v>
      </c>
      <c r="P6" s="9">
        <f>O6*(1+Assumptions!$D$4)</f>
        <v>0.5</v>
      </c>
      <c r="Q6" s="9">
        <f>P6*(1+Assumptions!$D$4)</f>
        <v>0.5</v>
      </c>
      <c r="R6" s="9">
        <f>Q6*(1+Assumptions!$D$4)</f>
        <v>0.5</v>
      </c>
    </row>
    <row r="7" spans="1:18" x14ac:dyDescent="0.3">
      <c r="A7" t="s">
        <v>7</v>
      </c>
      <c r="C7" s="9">
        <f>Assumptions!C5</f>
        <v>3</v>
      </c>
      <c r="D7" s="9">
        <f>C7*(1+Assumptions!$D$5)</f>
        <v>2.88</v>
      </c>
      <c r="E7" s="9">
        <f>D7*(1+Assumptions!$D$5)</f>
        <v>2.7647999999999997</v>
      </c>
      <c r="F7" s="9">
        <f>E7*(1+Assumptions!$D$5)</f>
        <v>2.6542079999999997</v>
      </c>
      <c r="G7" s="9">
        <f>F7*(1+Assumptions!$D$5)</f>
        <v>2.5480396799999996</v>
      </c>
      <c r="H7" s="9">
        <f>G7*(1+Assumptions!$D$5)</f>
        <v>2.4461180927999995</v>
      </c>
      <c r="I7" s="9">
        <f>H7*(1+Assumptions!$D$5)</f>
        <v>2.3482733690879996</v>
      </c>
      <c r="J7" s="9">
        <f>I7*(1+Assumptions!$D$5)</f>
        <v>2.2543424343244793</v>
      </c>
      <c r="K7" s="9">
        <f>J7*(1+Assumptions!$D$5)</f>
        <v>2.1641687369514999</v>
      </c>
      <c r="L7" s="9">
        <f>K7*(1+Assumptions!$D$5)</f>
        <v>2.0776019874734399</v>
      </c>
      <c r="M7" s="9">
        <f>L7*(1+Assumptions!$D$5)</f>
        <v>1.9944979079745022</v>
      </c>
      <c r="N7" s="9">
        <f>M7*(1+Assumptions!$D$5)</f>
        <v>1.9147179916555221</v>
      </c>
      <c r="O7" s="9">
        <f>N7*(1+Assumptions!$D$5)</f>
        <v>1.8381292719893012</v>
      </c>
      <c r="P7" s="9">
        <f>O7*(1+Assumptions!$D$5)</f>
        <v>1.7646041011097291</v>
      </c>
      <c r="Q7" s="9">
        <f>P7*(1+Assumptions!$D$5)</f>
        <v>1.6940199370653399</v>
      </c>
      <c r="R7" s="9">
        <f>Q7*(1+Assumptions!$D$5)</f>
        <v>1.6262591395827262</v>
      </c>
    </row>
    <row r="8" spans="1:18" x14ac:dyDescent="0.3">
      <c r="A8" t="s">
        <v>8</v>
      </c>
      <c r="C8" s="9">
        <f>Assumptions!C6</f>
        <v>40</v>
      </c>
      <c r="D8" s="9">
        <f>C8*(1+Assumptions!$D$6)</f>
        <v>36</v>
      </c>
      <c r="E8" s="9">
        <f>D8*(1+Assumptions!$D$6)</f>
        <v>32.4</v>
      </c>
      <c r="F8" s="9">
        <f>E8*(1+Assumptions!$D$6)</f>
        <v>29.16</v>
      </c>
      <c r="G8" s="9">
        <f>F8*(1+Assumptions!$D$6)</f>
        <v>26.244</v>
      </c>
      <c r="H8" s="9">
        <f>G8*(1+Assumptions!$D$6)</f>
        <v>23.619600000000002</v>
      </c>
      <c r="I8" s="9">
        <f>H8*(1+Assumptions!$D$6)</f>
        <v>21.257640000000002</v>
      </c>
      <c r="J8" s="9">
        <f>I8*(1+Assumptions!$D$6)</f>
        <v>19.131876000000002</v>
      </c>
      <c r="K8" s="9">
        <f>J8*(1+Assumptions!$D$6)</f>
        <v>17.218688400000001</v>
      </c>
      <c r="L8" s="9">
        <f>K8*(1+Assumptions!$D$6)</f>
        <v>15.496819560000002</v>
      </c>
      <c r="M8" s="9">
        <f>L8*(1+Assumptions!$D$6)</f>
        <v>13.947137604000002</v>
      </c>
      <c r="N8" s="9">
        <f>M8*(1+Assumptions!$D$6)</f>
        <v>12.552423843600002</v>
      </c>
      <c r="O8" s="9">
        <f>N8*(1+Assumptions!$D$6)</f>
        <v>11.297181459240001</v>
      </c>
      <c r="P8" s="9">
        <f>O8*(1+Assumptions!$D$6)</f>
        <v>10.167463313316</v>
      </c>
      <c r="Q8" s="9">
        <f>P8*(1+Assumptions!$D$6)</f>
        <v>9.1507169819844005</v>
      </c>
      <c r="R8" s="9">
        <f>Q8*(1+Assumptions!$D$6)</f>
        <v>8.2356452837859599</v>
      </c>
    </row>
    <row r="10" spans="1:18" x14ac:dyDescent="0.3">
      <c r="C10" t="s">
        <v>211</v>
      </c>
    </row>
    <row r="11" spans="1:18" x14ac:dyDescent="0.3">
      <c r="C11" s="10">
        <f>Assumptions!E34</f>
        <v>0.87</v>
      </c>
      <c r="D11" s="10">
        <f>MAX(1-D12-D13,0)</f>
        <v>0.85</v>
      </c>
      <c r="E11" s="10">
        <f t="shared" ref="E11:R11" si="0">MAX(1-E12-E13,0)</f>
        <v>0.83000000000000007</v>
      </c>
      <c r="F11" s="10">
        <f t="shared" si="0"/>
        <v>0.81</v>
      </c>
      <c r="G11" s="10">
        <f t="shared" si="0"/>
        <v>0.78</v>
      </c>
      <c r="H11" s="10">
        <f t="shared" si="0"/>
        <v>0.75</v>
      </c>
      <c r="I11" s="10">
        <f t="shared" si="0"/>
        <v>0.72</v>
      </c>
      <c r="J11" s="10">
        <f t="shared" si="0"/>
        <v>0.69</v>
      </c>
      <c r="K11" s="10">
        <f t="shared" si="0"/>
        <v>0.65999999999999992</v>
      </c>
      <c r="L11" s="10">
        <f t="shared" si="0"/>
        <v>0.62999999999999989</v>
      </c>
      <c r="M11" s="10">
        <f t="shared" si="0"/>
        <v>0.62</v>
      </c>
      <c r="N11" s="10">
        <f t="shared" si="0"/>
        <v>0.61</v>
      </c>
      <c r="O11" s="10">
        <f t="shared" si="0"/>
        <v>0.6</v>
      </c>
      <c r="P11" s="10">
        <f t="shared" si="0"/>
        <v>0.59</v>
      </c>
      <c r="Q11" s="10">
        <f t="shared" si="0"/>
        <v>0.57999999999999996</v>
      </c>
      <c r="R11" s="10">
        <f t="shared" si="0"/>
        <v>0.56999999999999995</v>
      </c>
    </row>
    <row r="12" spans="1:18" x14ac:dyDescent="0.3">
      <c r="C12" s="10">
        <f>Assumptions!E35</f>
        <v>0.12</v>
      </c>
      <c r="D12" s="10">
        <f>MIN(C12+Assumptions!$E$47,0.3)</f>
        <v>0.13999999999999999</v>
      </c>
      <c r="E12" s="10">
        <f>MIN(D12+Assumptions!$E$47,0.3)</f>
        <v>0.15999999999999998</v>
      </c>
      <c r="F12" s="10">
        <f>MIN(E12+Assumptions!$E$47,0.3)</f>
        <v>0.17999999999999997</v>
      </c>
      <c r="G12" s="10">
        <f>MIN(F12+Assumptions!$E$47,0.3)</f>
        <v>0.19999999999999996</v>
      </c>
      <c r="H12" s="10">
        <f>MIN(G12+Assumptions!$E$47,0.3)</f>
        <v>0.21999999999999995</v>
      </c>
      <c r="I12" s="10">
        <f>MIN(H12+Assumptions!$E$47,0.3)</f>
        <v>0.23999999999999994</v>
      </c>
      <c r="J12" s="10">
        <f>MIN(I12+Assumptions!$E$47,0.3)</f>
        <v>0.25999999999999995</v>
      </c>
      <c r="K12" s="10">
        <f>MIN(J12+Assumptions!$E$47,0.3)</f>
        <v>0.27999999999999997</v>
      </c>
      <c r="L12" s="10">
        <f>MIN(K12+Assumptions!$E$47,0.3)</f>
        <v>0.3</v>
      </c>
      <c r="M12" s="10">
        <f>MIN(L12+Assumptions!$E$47,0.3)</f>
        <v>0.3</v>
      </c>
      <c r="N12" s="10">
        <f>MIN(M12+Assumptions!$E$47,0.3)</f>
        <v>0.3</v>
      </c>
      <c r="O12" s="10">
        <f>MIN(N12+Assumptions!$E$47,0.3)</f>
        <v>0.3</v>
      </c>
      <c r="P12" s="10">
        <f>MIN(O12+Assumptions!$E$47,0.3)</f>
        <v>0.3</v>
      </c>
      <c r="Q12" s="10">
        <f>MIN(P12+Assumptions!$E$47,0.3)</f>
        <v>0.3</v>
      </c>
      <c r="R12" s="10">
        <f>MIN(Q12+Assumptions!$E$47,0.3)</f>
        <v>0.3</v>
      </c>
    </row>
    <row r="13" spans="1:18" x14ac:dyDescent="0.3">
      <c r="C13" s="10">
        <f>Assumptions!E36</f>
        <v>0.01</v>
      </c>
      <c r="D13" s="10">
        <f>IF(D$3&gt;=Assumptions!$C$20,C13+Assumptions!$E$49,C13)</f>
        <v>0.01</v>
      </c>
      <c r="E13" s="10">
        <f>IF(E$3&gt;=Assumptions!$C$20,D13+Assumptions!$E$49,D13)</f>
        <v>0.01</v>
      </c>
      <c r="F13" s="10">
        <f>IF(F$3&gt;=Assumptions!$C$20,E13+Assumptions!$E$49,E13)</f>
        <v>0.01</v>
      </c>
      <c r="G13" s="10">
        <f>IF(G$3&gt;=Assumptions!$C$20,F13+Assumptions!$E$49,F13)</f>
        <v>0.02</v>
      </c>
      <c r="H13" s="10">
        <f>IF(H$3&gt;=Assumptions!$C$20,G13+Assumptions!$E$49,G13)</f>
        <v>0.03</v>
      </c>
      <c r="I13" s="10">
        <f>IF(I$3&gt;=Assumptions!$C$20,H13+Assumptions!$E$49,H13)</f>
        <v>0.04</v>
      </c>
      <c r="J13" s="10">
        <f>IF(J$3&gt;=Assumptions!$C$20,I13+Assumptions!$E$49,I13)</f>
        <v>0.05</v>
      </c>
      <c r="K13" s="10">
        <f>IF(K$3&gt;=Assumptions!$C$20,J13+Assumptions!$E$49,J13)</f>
        <v>6.0000000000000005E-2</v>
      </c>
      <c r="L13" s="10">
        <f>IF(L$3&gt;=Assumptions!$C$20,K13+Assumptions!$E$49,K13)</f>
        <v>7.0000000000000007E-2</v>
      </c>
      <c r="M13" s="10">
        <f>IF(M$3&gt;=Assumptions!$C$20,L13+Assumptions!$E$49,L13)</f>
        <v>0.08</v>
      </c>
      <c r="N13" s="10">
        <f>IF(N$3&gt;=Assumptions!$C$20,M13+Assumptions!$E$49,M13)</f>
        <v>0.09</v>
      </c>
      <c r="O13" s="10">
        <f>IF(O$3&gt;=Assumptions!$C$20,N13+Assumptions!$E$49,N13)</f>
        <v>9.9999999999999992E-2</v>
      </c>
      <c r="P13" s="10">
        <f>IF(P$3&gt;=Assumptions!$C$20,O13+Assumptions!$E$49,O13)</f>
        <v>0.10999999999999999</v>
      </c>
      <c r="Q13" s="10">
        <f>IF(Q$3&gt;=Assumptions!$C$20,P13+Assumptions!$E$49,P13)</f>
        <v>0.11999999999999998</v>
      </c>
      <c r="R13" s="10">
        <f>IF(R$3&gt;=Assumptions!$C$20,Q13+Assumptions!$E$49,Q13)</f>
        <v>0.12999999999999998</v>
      </c>
    </row>
    <row r="14" spans="1:18" x14ac:dyDescent="0.3">
      <c r="C14" s="10">
        <f>Assumptions!E38</f>
        <v>1</v>
      </c>
      <c r="D14" s="10">
        <f>MAX(1-D15,0)</f>
        <v>1</v>
      </c>
      <c r="E14" s="10">
        <f t="shared" ref="E14:R14" si="1">MAX(1-E15,0)</f>
        <v>1</v>
      </c>
      <c r="F14" s="10">
        <f t="shared" si="1"/>
        <v>1</v>
      </c>
      <c r="G14" s="10">
        <f t="shared" si="1"/>
        <v>0.97</v>
      </c>
      <c r="H14" s="10">
        <f t="shared" si="1"/>
        <v>0.94</v>
      </c>
      <c r="I14" s="10">
        <f t="shared" si="1"/>
        <v>0.91</v>
      </c>
      <c r="J14" s="10">
        <f t="shared" si="1"/>
        <v>0.88</v>
      </c>
      <c r="K14" s="10">
        <f t="shared" si="1"/>
        <v>0.85</v>
      </c>
      <c r="L14" s="10">
        <f t="shared" si="1"/>
        <v>0.82000000000000006</v>
      </c>
      <c r="M14" s="10">
        <f t="shared" si="1"/>
        <v>0.8</v>
      </c>
      <c r="N14" s="10">
        <f t="shared" si="1"/>
        <v>0.8</v>
      </c>
      <c r="O14" s="10">
        <f t="shared" si="1"/>
        <v>0.8</v>
      </c>
      <c r="P14" s="10">
        <f t="shared" si="1"/>
        <v>0.8</v>
      </c>
      <c r="Q14" s="10">
        <f t="shared" si="1"/>
        <v>0.8</v>
      </c>
      <c r="R14" s="10">
        <f t="shared" si="1"/>
        <v>0.8</v>
      </c>
    </row>
    <row r="15" spans="1:18" x14ac:dyDescent="0.3">
      <c r="C15" s="10">
        <f>Assumptions!E39</f>
        <v>0</v>
      </c>
      <c r="D15" s="10">
        <f>IF(D$3&gt;=Assumptions!$C$20,MIN(C15+Assumptions!$E$50,0.2),C15)</f>
        <v>0</v>
      </c>
      <c r="E15" s="10">
        <f>IF(E$3&gt;=Assumptions!$C$20,MIN(D15+Assumptions!$E$50,0.2),D15)</f>
        <v>0</v>
      </c>
      <c r="F15" s="10">
        <f>IF(F$3&gt;=Assumptions!$C$20,MIN(E15+Assumptions!$E$50,0.2),E15)</f>
        <v>0</v>
      </c>
      <c r="G15" s="10">
        <f>IF(G$3&gt;=Assumptions!$C$20,MIN(F15+Assumptions!$E$50,0.2),F15)</f>
        <v>0.03</v>
      </c>
      <c r="H15" s="10">
        <f>IF(H$3&gt;=Assumptions!$C$20,MIN(G15+Assumptions!$E$50,0.2),G15)</f>
        <v>0.06</v>
      </c>
      <c r="I15" s="10">
        <f>IF(I$3&gt;=Assumptions!$C$20,MIN(H15+Assumptions!$E$50,0.2),H15)</f>
        <v>0.09</v>
      </c>
      <c r="J15" s="10">
        <f>IF(J$3&gt;=Assumptions!$C$20,MIN(I15+Assumptions!$E$50,0.2),I15)</f>
        <v>0.12</v>
      </c>
      <c r="K15" s="10">
        <f>IF(K$3&gt;=Assumptions!$C$20,MIN(J15+Assumptions!$E$50,0.2),J15)</f>
        <v>0.15</v>
      </c>
      <c r="L15" s="10">
        <f>IF(L$3&gt;=Assumptions!$C$20,MIN(K15+Assumptions!$E$50,0.2),K15)</f>
        <v>0.18</v>
      </c>
      <c r="M15" s="10">
        <f>IF(M$3&gt;=Assumptions!$C$20,MIN(L15+Assumptions!$E$50,0.2),L15)</f>
        <v>0.2</v>
      </c>
      <c r="N15" s="10">
        <f>IF(N$3&gt;=Assumptions!$C$20,MIN(M15+Assumptions!$E$50,0.2),M15)</f>
        <v>0.2</v>
      </c>
      <c r="O15" s="10">
        <f>IF(O$3&gt;=Assumptions!$C$20,MIN(N15+Assumptions!$E$50,0.2),N15)</f>
        <v>0.2</v>
      </c>
      <c r="P15" s="10">
        <f>IF(P$3&gt;=Assumptions!$C$20,MIN(O15+Assumptions!$E$50,0.2),O15)</f>
        <v>0.2</v>
      </c>
      <c r="Q15" s="10">
        <f>IF(Q$3&gt;=Assumptions!$C$20,MIN(P15+Assumptions!$E$50,0.2),P15)</f>
        <v>0.2</v>
      </c>
      <c r="R15" s="10">
        <f>IF(R$3&gt;=Assumptions!$C$20,MIN(Q15+Assumptions!$E$50,0.2),Q15)</f>
        <v>0.2</v>
      </c>
    </row>
    <row r="17" spans="3:18" x14ac:dyDescent="0.3">
      <c r="C17" t="s">
        <v>72</v>
      </c>
    </row>
    <row r="18" spans="3:18" x14ac:dyDescent="0.3">
      <c r="C18" s="10">
        <f>Assumptions!E42</f>
        <v>0.74</v>
      </c>
      <c r="D18" s="10">
        <f>MAX(1-D19-D20,0)</f>
        <v>0.67999999999999994</v>
      </c>
      <c r="E18" s="10">
        <f t="shared" ref="E18:R18" si="2">MAX(1-E19-E20,0)</f>
        <v>0.62</v>
      </c>
      <c r="F18" s="10">
        <f t="shared" si="2"/>
        <v>0.55999999999999994</v>
      </c>
      <c r="G18" s="10">
        <f t="shared" si="2"/>
        <v>0.49999999999999989</v>
      </c>
      <c r="H18" s="10">
        <f t="shared" si="2"/>
        <v>0.43999999999999989</v>
      </c>
      <c r="I18" s="10">
        <f t="shared" si="2"/>
        <v>0.37999999999999989</v>
      </c>
      <c r="J18" s="10">
        <f t="shared" si="2"/>
        <v>0.31999999999999984</v>
      </c>
      <c r="K18" s="10">
        <f t="shared" si="2"/>
        <v>0.25999999999999979</v>
      </c>
      <c r="L18" s="10">
        <f t="shared" si="2"/>
        <v>0.19999999999999996</v>
      </c>
      <c r="M18" s="10">
        <f t="shared" si="2"/>
        <v>0.16999999999999993</v>
      </c>
      <c r="N18" s="10">
        <f t="shared" si="2"/>
        <v>0.1399999999999999</v>
      </c>
      <c r="O18" s="10">
        <f t="shared" si="2"/>
        <v>0.10999999999999988</v>
      </c>
      <c r="P18" s="10">
        <f t="shared" si="2"/>
        <v>7.9999999999999849E-2</v>
      </c>
      <c r="Q18" s="10">
        <f t="shared" si="2"/>
        <v>4.9999999999999822E-2</v>
      </c>
      <c r="R18" s="10">
        <f t="shared" si="2"/>
        <v>1.9999999999999796E-2</v>
      </c>
    </row>
    <row r="19" spans="3:18" x14ac:dyDescent="0.3">
      <c r="C19" s="10">
        <f>Assumptions!E43</f>
        <v>0.23</v>
      </c>
      <c r="D19" s="10">
        <f>MIN(C19+0.03,0.5)</f>
        <v>0.26</v>
      </c>
      <c r="E19" s="10">
        <f t="shared" ref="E19:R19" si="3">MIN(D19+0.03,0.5)</f>
        <v>0.29000000000000004</v>
      </c>
      <c r="F19" s="10">
        <f t="shared" si="3"/>
        <v>0.32000000000000006</v>
      </c>
      <c r="G19" s="10">
        <f t="shared" si="3"/>
        <v>0.35000000000000009</v>
      </c>
      <c r="H19" s="10">
        <f t="shared" si="3"/>
        <v>0.38000000000000012</v>
      </c>
      <c r="I19" s="10">
        <f t="shared" si="3"/>
        <v>0.41000000000000014</v>
      </c>
      <c r="J19" s="10">
        <f t="shared" si="3"/>
        <v>0.44000000000000017</v>
      </c>
      <c r="K19" s="10">
        <f t="shared" si="3"/>
        <v>0.4700000000000002</v>
      </c>
      <c r="L19" s="10">
        <f t="shared" si="3"/>
        <v>0.5</v>
      </c>
      <c r="M19" s="10">
        <f t="shared" si="3"/>
        <v>0.5</v>
      </c>
      <c r="N19" s="10">
        <f t="shared" si="3"/>
        <v>0.5</v>
      </c>
      <c r="O19" s="10">
        <f t="shared" si="3"/>
        <v>0.5</v>
      </c>
      <c r="P19" s="10">
        <f t="shared" si="3"/>
        <v>0.5</v>
      </c>
      <c r="Q19" s="10">
        <f t="shared" si="3"/>
        <v>0.5</v>
      </c>
      <c r="R19" s="10">
        <f t="shared" si="3"/>
        <v>0.5</v>
      </c>
    </row>
    <row r="20" spans="3:18" x14ac:dyDescent="0.3">
      <c r="C20" s="10">
        <f>Assumptions!E44</f>
        <v>0.03</v>
      </c>
      <c r="D20" s="10">
        <f>MIN(C20+0.03,0.5)</f>
        <v>0.06</v>
      </c>
      <c r="E20" s="10">
        <f t="shared" ref="E20:R20" si="4">MIN(D20+0.03,0.5)</f>
        <v>0.09</v>
      </c>
      <c r="F20" s="10">
        <f t="shared" si="4"/>
        <v>0.12</v>
      </c>
      <c r="G20" s="10">
        <f t="shared" si="4"/>
        <v>0.15</v>
      </c>
      <c r="H20" s="10">
        <f t="shared" si="4"/>
        <v>0.18</v>
      </c>
      <c r="I20" s="10">
        <f t="shared" si="4"/>
        <v>0.21</v>
      </c>
      <c r="J20" s="10">
        <f t="shared" si="4"/>
        <v>0.24</v>
      </c>
      <c r="K20" s="10">
        <f t="shared" si="4"/>
        <v>0.27</v>
      </c>
      <c r="L20" s="10">
        <f t="shared" si="4"/>
        <v>0.30000000000000004</v>
      </c>
      <c r="M20" s="10">
        <f t="shared" si="4"/>
        <v>0.33000000000000007</v>
      </c>
      <c r="N20" s="10">
        <f t="shared" si="4"/>
        <v>0.3600000000000001</v>
      </c>
      <c r="O20" s="10">
        <f t="shared" si="4"/>
        <v>0.39000000000000012</v>
      </c>
      <c r="P20" s="10">
        <f t="shared" si="4"/>
        <v>0.42000000000000015</v>
      </c>
      <c r="Q20" s="10">
        <f t="shared" si="4"/>
        <v>0.45000000000000018</v>
      </c>
      <c r="R20" s="10">
        <f t="shared" si="4"/>
        <v>0.4800000000000002</v>
      </c>
    </row>
    <row r="23" spans="3:18" x14ac:dyDescent="0.3">
      <c r="C23" t="s">
        <v>73</v>
      </c>
    </row>
    <row r="24" spans="3:18" x14ac:dyDescent="0.3">
      <c r="C24" s="19">
        <f>Assumptions!C16*Assumptions!G4</f>
        <v>3690</v>
      </c>
      <c r="D24" s="19">
        <f>C30</f>
        <v>3195.63</v>
      </c>
      <c r="E24" s="19">
        <f t="shared" ref="E24:R24" si="5">D30</f>
        <v>2699.2570500000002</v>
      </c>
      <c r="F24" s="19">
        <f t="shared" si="5"/>
        <v>2222.9567716500005</v>
      </c>
      <c r="G24" s="19">
        <f t="shared" si="5"/>
        <v>1784.3223915751505</v>
      </c>
      <c r="H24" s="19">
        <f t="shared" si="5"/>
        <v>1375.9299630389642</v>
      </c>
      <c r="I24" s="19">
        <f t="shared" si="5"/>
        <v>1018.3592221952289</v>
      </c>
      <c r="J24" s="19">
        <f t="shared" si="5"/>
        <v>722.8565763343754</v>
      </c>
      <c r="K24" s="19">
        <f t="shared" si="5"/>
        <v>491.80123287469428</v>
      </c>
      <c r="L24" s="19">
        <f t="shared" si="5"/>
        <v>320.53699523540712</v>
      </c>
      <c r="M24" s="19">
        <f t="shared" si="5"/>
        <v>199.92160562875563</v>
      </c>
      <c r="N24" s="19">
        <f t="shared" si="5"/>
        <v>124.80473373533148</v>
      </c>
      <c r="O24" s="19">
        <f t="shared" si="5"/>
        <v>78.292213546865753</v>
      </c>
      <c r="P24" s="19">
        <f t="shared" si="5"/>
        <v>49.421423485398066</v>
      </c>
      <c r="Q24" s="19">
        <f t="shared" si="5"/>
        <v>31.22949730304337</v>
      </c>
      <c r="R24" s="19">
        <f t="shared" si="5"/>
        <v>19.387786528821973</v>
      </c>
    </row>
    <row r="25" spans="3:18" x14ac:dyDescent="0.3">
      <c r="C25" s="19">
        <f>C24*(Assumptions!$C$15/Assumptions!$F$4)</f>
        <v>4059.0000000000005</v>
      </c>
      <c r="D25" s="19">
        <f>D24*(Assumptions!$C$15/Assumptions!$F$4)</f>
        <v>3515.1930000000002</v>
      </c>
      <c r="E25" s="19">
        <f>E24*(Assumptions!$C$15/Assumptions!$F$4)</f>
        <v>2969.1827550000003</v>
      </c>
      <c r="F25" s="19">
        <f>F24*(Assumptions!$C$15/Assumptions!$F$4)</f>
        <v>2445.2524488150007</v>
      </c>
      <c r="G25" s="19">
        <f>G24*(Assumptions!$C$15/Assumptions!$F$4)</f>
        <v>1962.7546307326656</v>
      </c>
      <c r="H25" s="19">
        <f>H24*(Assumptions!$C$15/Assumptions!$F$4)</f>
        <v>1513.5229593428608</v>
      </c>
      <c r="I25" s="19">
        <f>I24*(Assumptions!$C$15/Assumptions!$F$4)</f>
        <v>1120.1951444147519</v>
      </c>
      <c r="J25" s="19">
        <f>J24*(Assumptions!$C$15/Assumptions!$F$4)</f>
        <v>795.14223396781301</v>
      </c>
      <c r="K25" s="19">
        <f>K24*(Assumptions!$C$15/Assumptions!$F$4)</f>
        <v>540.98135616216371</v>
      </c>
      <c r="L25" s="19">
        <f>L24*(Assumptions!$C$15/Assumptions!$F$4)</f>
        <v>352.59069475894785</v>
      </c>
      <c r="M25" s="19">
        <f>M24*(Assumptions!$C$15/Assumptions!$F$4)</f>
        <v>219.9137661916312</v>
      </c>
      <c r="N25" s="19">
        <f>N24*(Assumptions!$C$15/Assumptions!$F$4)</f>
        <v>137.28520710886465</v>
      </c>
      <c r="O25" s="19">
        <f>O24*(Assumptions!$C$15/Assumptions!$F$4)</f>
        <v>86.121434901552334</v>
      </c>
      <c r="P25" s="19">
        <f>P24*(Assumptions!$C$15/Assumptions!$F$4)</f>
        <v>54.363565833937876</v>
      </c>
      <c r="Q25" s="19">
        <f>Q24*(Assumptions!$C$15/Assumptions!$F$4)</f>
        <v>34.352447033347708</v>
      </c>
      <c r="R25" s="19">
        <f>R24*(Assumptions!$C$15/Assumptions!$F$4)</f>
        <v>21.326565181704172</v>
      </c>
    </row>
    <row r="26" spans="3:18" x14ac:dyDescent="0.3">
      <c r="C26" s="19">
        <f>C25*C11</f>
        <v>3531.3300000000004</v>
      </c>
      <c r="D26" s="19">
        <f>D25*D11</f>
        <v>2987.9140500000003</v>
      </c>
      <c r="E26" s="19">
        <f t="shared" ref="E26:R26" si="6">E25*E11</f>
        <v>2464.4216866500005</v>
      </c>
      <c r="F26" s="19">
        <f t="shared" si="6"/>
        <v>1980.6544835401507</v>
      </c>
      <c r="G26" s="19">
        <f t="shared" si="6"/>
        <v>1530.9486119714793</v>
      </c>
      <c r="H26" s="19">
        <f t="shared" si="6"/>
        <v>1135.1422195071455</v>
      </c>
      <c r="I26" s="19">
        <f t="shared" si="6"/>
        <v>806.54050397862136</v>
      </c>
      <c r="J26" s="19">
        <f t="shared" si="6"/>
        <v>548.64814143779097</v>
      </c>
      <c r="K26" s="19">
        <f t="shared" si="6"/>
        <v>357.04769506702803</v>
      </c>
      <c r="L26" s="19">
        <f t="shared" si="6"/>
        <v>222.13213769813711</v>
      </c>
      <c r="M26" s="19">
        <f t="shared" si="6"/>
        <v>136.34653503881134</v>
      </c>
      <c r="N26" s="19">
        <f t="shared" si="6"/>
        <v>83.743976336407442</v>
      </c>
      <c r="O26" s="19">
        <f t="shared" si="6"/>
        <v>51.6728609409314</v>
      </c>
      <c r="P26" s="19">
        <f t="shared" si="6"/>
        <v>32.074503842023347</v>
      </c>
      <c r="Q26" s="19">
        <f t="shared" si="6"/>
        <v>19.92441927934167</v>
      </c>
      <c r="R26" s="19">
        <f t="shared" si="6"/>
        <v>12.156142153571377</v>
      </c>
    </row>
    <row r="27" spans="3:18" x14ac:dyDescent="0.3">
      <c r="C27" s="19">
        <f>C25*C12</f>
        <v>487.08000000000004</v>
      </c>
      <c r="D27" s="19">
        <f>D25*D12</f>
        <v>492.12701999999996</v>
      </c>
      <c r="E27" s="19">
        <f t="shared" ref="E27:R27" si="7">E25*E12</f>
        <v>475.06924079999999</v>
      </c>
      <c r="F27" s="19">
        <f t="shared" si="7"/>
        <v>440.14544078670002</v>
      </c>
      <c r="G27" s="19">
        <f t="shared" si="7"/>
        <v>392.55092614653302</v>
      </c>
      <c r="H27" s="19">
        <f t="shared" si="7"/>
        <v>332.97505105542928</v>
      </c>
      <c r="I27" s="19">
        <f t="shared" si="7"/>
        <v>268.84683465954038</v>
      </c>
      <c r="J27" s="19">
        <f t="shared" si="7"/>
        <v>206.73698083163134</v>
      </c>
      <c r="K27" s="19">
        <f t="shared" si="7"/>
        <v>151.47477972540582</v>
      </c>
      <c r="L27" s="19">
        <f t="shared" si="7"/>
        <v>105.77720842768436</v>
      </c>
      <c r="M27" s="19">
        <f t="shared" si="7"/>
        <v>65.974129857489359</v>
      </c>
      <c r="N27" s="19">
        <f t="shared" si="7"/>
        <v>41.185562132659392</v>
      </c>
      <c r="O27" s="19">
        <f t="shared" si="7"/>
        <v>25.8364304704657</v>
      </c>
      <c r="P27" s="19">
        <f t="shared" si="7"/>
        <v>16.309069750181362</v>
      </c>
      <c r="Q27" s="19">
        <f t="shared" si="7"/>
        <v>10.305734110004312</v>
      </c>
      <c r="R27" s="19">
        <f t="shared" si="7"/>
        <v>6.3979695545112518</v>
      </c>
    </row>
    <row r="28" spans="3:18" x14ac:dyDescent="0.3">
      <c r="C28" s="19">
        <f>C25*C13</f>
        <v>40.590000000000003</v>
      </c>
      <c r="D28" s="19">
        <f>D25*D13</f>
        <v>35.15193</v>
      </c>
      <c r="E28" s="19">
        <f t="shared" ref="E28:R28" si="8">E25*E13</f>
        <v>29.691827550000003</v>
      </c>
      <c r="F28" s="19">
        <f t="shared" si="8"/>
        <v>24.452524488150008</v>
      </c>
      <c r="G28" s="19">
        <f t="shared" si="8"/>
        <v>39.255092614653314</v>
      </c>
      <c r="H28" s="19">
        <f t="shared" si="8"/>
        <v>45.405688780285821</v>
      </c>
      <c r="I28" s="19">
        <f t="shared" si="8"/>
        <v>44.807805776590079</v>
      </c>
      <c r="J28" s="19">
        <f t="shared" si="8"/>
        <v>39.757111698390652</v>
      </c>
      <c r="K28" s="19">
        <f t="shared" si="8"/>
        <v>32.458881369729824</v>
      </c>
      <c r="L28" s="19">
        <f t="shared" si="8"/>
        <v>24.681348633126351</v>
      </c>
      <c r="M28" s="19">
        <f t="shared" si="8"/>
        <v>17.593101295330495</v>
      </c>
      <c r="N28" s="19">
        <f t="shared" si="8"/>
        <v>12.355668639797818</v>
      </c>
      <c r="O28" s="19">
        <f t="shared" si="8"/>
        <v>8.6121434901552334</v>
      </c>
      <c r="P28" s="19">
        <f t="shared" si="8"/>
        <v>5.9799922417331661</v>
      </c>
      <c r="Q28" s="19">
        <f t="shared" si="8"/>
        <v>4.1222936440017239</v>
      </c>
      <c r="R28" s="19">
        <f t="shared" si="8"/>
        <v>2.772453473621542</v>
      </c>
    </row>
    <row r="29" spans="3:18" x14ac:dyDescent="0.3">
      <c r="C29" s="19">
        <f>Assumptions!$C$16*Assumptions!$C$18*C18</f>
        <v>33.299999999999997</v>
      </c>
      <c r="D29" s="19">
        <f>Assumptions!$C$16*Assumptions!$C$18*(1+Assumptions!$C$18)^(D$3-2010)*D18</f>
        <v>30.905999999999999</v>
      </c>
      <c r="E29" s="19">
        <f>Assumptions!$C$16*Assumptions!$C$18*(1+Assumptions!$C$18)^(E$3-2010)*E18</f>
        <v>28.460789999999999</v>
      </c>
      <c r="F29" s="19">
        <f>Assumptions!$C$16*Assumptions!$C$18*(1+Assumptions!$C$18)^(F$3-2010)*F18</f>
        <v>25.963585199999994</v>
      </c>
      <c r="G29" s="19">
        <f>Assumptions!$C$16*Assumptions!$C$18*(1+Assumptions!$C$18)^(G$3-2010)*G18</f>
        <v>23.413590224999997</v>
      </c>
      <c r="H29" s="19">
        <f>Assumptions!$C$16*Assumptions!$C$18*(1+Assumptions!$C$18)^(H$3-2010)*H18</f>
        <v>20.809998991979995</v>
      </c>
      <c r="I29" s="19">
        <f>Assumptions!$C$16*Assumptions!$C$18*(1+Assumptions!$C$18)^(I$3-2010)*I18</f>
        <v>18.151994575277097</v>
      </c>
      <c r="J29" s="19">
        <f>Assumptions!$C$16*Assumptions!$C$18*(1+Assumptions!$C$18)^(J$3-2010)*J18</f>
        <v>15.438749070340933</v>
      </c>
      <c r="K29" s="19">
        <f>Assumptions!$C$16*Assumptions!$C$18*(1+Assumptions!$C$18)^(K$3-2010)*K18</f>
        <v>12.669423455848529</v>
      </c>
      <c r="L29" s="19">
        <f>Assumptions!$C$16*Assumptions!$C$18*(1+Assumptions!$C$18)^(L$3-2010)*L18</f>
        <v>9.8431674541592482</v>
      </c>
      <c r="M29" s="19">
        <f>Assumptions!$C$16*Assumptions!$C$18*(1+Assumptions!$C$18)^(M$3-2010)*M18</f>
        <v>8.4503592593957126</v>
      </c>
      <c r="N29" s="19">
        <f>Assumptions!$C$16*Assumptions!$C$18*(1+Assumptions!$C$18)^(N$3-2010)*N18</f>
        <v>7.0287105839914892</v>
      </c>
      <c r="O29" s="19">
        <f>Assumptions!$C$16*Assumptions!$C$18*(1+Assumptions!$C$18)^(O$3-2010)*O18</f>
        <v>5.5777838991532445</v>
      </c>
      <c r="P29" s="19">
        <f>Assumptions!$C$16*Assumptions!$C$18*(1+Assumptions!$C$18)^(P$3-2010)*P18</f>
        <v>4.0971358095598349</v>
      </c>
      <c r="Q29" s="19">
        <f>Assumptions!$C$16*Assumptions!$C$18*(1+Assumptions!$C$18)^(Q$3-2010)*Q18</f>
        <v>2.5863169797846415</v>
      </c>
      <c r="R29" s="19">
        <f>Assumptions!$C$16*Assumptions!$C$18*(1+Assumptions!$C$18)^(R$3-2010)*R18</f>
        <v>1.0448720598329879</v>
      </c>
    </row>
    <row r="30" spans="3:18" x14ac:dyDescent="0.3">
      <c r="C30" s="19">
        <f>C24-C25+C26+C29</f>
        <v>3195.63</v>
      </c>
      <c r="D30" s="19">
        <f>D24-D25+D26+D29</f>
        <v>2699.2570500000002</v>
      </c>
      <c r="E30" s="19">
        <f t="shared" ref="E30:R30" si="9">E24-E25+E26+E29</f>
        <v>2222.9567716500005</v>
      </c>
      <c r="F30" s="19">
        <f t="shared" si="9"/>
        <v>1784.3223915751505</v>
      </c>
      <c r="G30" s="19">
        <f t="shared" si="9"/>
        <v>1375.9299630389642</v>
      </c>
      <c r="H30" s="19">
        <f t="shared" si="9"/>
        <v>1018.3592221952289</v>
      </c>
      <c r="I30" s="19">
        <f t="shared" si="9"/>
        <v>722.8565763343754</v>
      </c>
      <c r="J30" s="19">
        <f t="shared" si="9"/>
        <v>491.80123287469428</v>
      </c>
      <c r="K30" s="19">
        <f t="shared" si="9"/>
        <v>320.53699523540712</v>
      </c>
      <c r="L30" s="19">
        <f t="shared" si="9"/>
        <v>199.92160562875563</v>
      </c>
      <c r="M30" s="19">
        <f t="shared" si="9"/>
        <v>124.80473373533148</v>
      </c>
      <c r="N30" s="19">
        <f t="shared" si="9"/>
        <v>78.292213546865753</v>
      </c>
      <c r="O30" s="19">
        <f t="shared" si="9"/>
        <v>49.421423485398066</v>
      </c>
      <c r="P30" s="19">
        <f t="shared" si="9"/>
        <v>31.22949730304337</v>
      </c>
      <c r="Q30" s="19">
        <f t="shared" si="9"/>
        <v>19.387786528821973</v>
      </c>
      <c r="R30" s="19">
        <f t="shared" si="9"/>
        <v>11.262235560522166</v>
      </c>
    </row>
    <row r="32" spans="3:18" x14ac:dyDescent="0.3">
      <c r="C32" t="s">
        <v>74</v>
      </c>
    </row>
    <row r="33" spans="3:18" x14ac:dyDescent="0.3">
      <c r="C33" s="19">
        <f>Assumptions!C16*Assumptions!G5</f>
        <v>765</v>
      </c>
      <c r="D33" s="19">
        <f>C39</f>
        <v>1262.4299999999998</v>
      </c>
      <c r="E33" s="19">
        <f t="shared" ref="E33:R33" si="10">D39</f>
        <v>1766.3740199999997</v>
      </c>
      <c r="F33" s="19">
        <f t="shared" si="10"/>
        <v>2254.7555657999997</v>
      </c>
      <c r="G33" s="19">
        <f t="shared" si="10"/>
        <v>2709.7373409866996</v>
      </c>
      <c r="H33" s="19">
        <f t="shared" si="10"/>
        <v>3107.5001137591626</v>
      </c>
      <c r="I33" s="19">
        <f t="shared" si="10"/>
        <v>3432.8105607327889</v>
      </c>
      <c r="J33" s="19">
        <f t="shared" si="10"/>
        <v>3678.7614114818498</v>
      </c>
      <c r="K33" s="19">
        <f t="shared" si="10"/>
        <v>3846.0271089957491</v>
      </c>
      <c r="L33" s="19">
        <f t="shared" si="10"/>
        <v>3941.0799989221514</v>
      </c>
      <c r="M33" s="19">
        <f t="shared" si="10"/>
        <v>3973.9233960119109</v>
      </c>
      <c r="N33" s="19">
        <f t="shared" si="10"/>
        <v>3955.4686303008252</v>
      </c>
      <c r="O33" s="19">
        <f t="shared" si="10"/>
        <v>3912.9813429001815</v>
      </c>
      <c r="P33" s="19">
        <f t="shared" si="10"/>
        <v>3856.5643496188609</v>
      </c>
      <c r="Q33" s="19">
        <f t="shared" si="10"/>
        <v>3792.4249985642728</v>
      </c>
      <c r="R33" s="19">
        <f t="shared" si="10"/>
        <v>3724.3022150116067</v>
      </c>
    </row>
    <row r="34" spans="3:18" x14ac:dyDescent="0.3">
      <c r="C34" s="19">
        <f>C33*(Assumptions!$C$15/Assumptions!$F$5)</f>
        <v>105.18750000000001</v>
      </c>
      <c r="D34" s="19">
        <f>D33*(Assumptions!$C$15/Assumptions!$F$5)</f>
        <v>173.584125</v>
      </c>
      <c r="E34" s="19">
        <f>E33*(Assumptions!$C$15/Assumptions!$F$5)</f>
        <v>242.87642774999998</v>
      </c>
      <c r="F34" s="19">
        <f>F33*(Assumptions!$C$15/Assumptions!$F$5)</f>
        <v>310.02889029749997</v>
      </c>
      <c r="G34" s="19">
        <f>G33*(Assumptions!$C$15/Assumptions!$F$5)</f>
        <v>372.58888438567124</v>
      </c>
      <c r="H34" s="19">
        <f>H33*(Assumptions!$C$15/Assumptions!$F$5)</f>
        <v>427.28126564188489</v>
      </c>
      <c r="I34" s="19">
        <f>I33*(Assumptions!$C$15/Assumptions!$F$5)</f>
        <v>472.0114521007585</v>
      </c>
      <c r="J34" s="19">
        <f>J33*(Assumptions!$C$15/Assumptions!$F$5)</f>
        <v>505.82969407875441</v>
      </c>
      <c r="K34" s="19">
        <f>K33*(Assumptions!$C$15/Assumptions!$F$5)</f>
        <v>528.82872748691557</v>
      </c>
      <c r="L34" s="19">
        <f>L33*(Assumptions!$C$15/Assumptions!$F$5)</f>
        <v>541.8984998517958</v>
      </c>
      <c r="M34" s="19">
        <f>M33*(Assumptions!$C$15/Assumptions!$F$5)</f>
        <v>546.41446695163779</v>
      </c>
      <c r="N34" s="19">
        <f>N33*(Assumptions!$C$15/Assumptions!$F$5)</f>
        <v>543.87693666636346</v>
      </c>
      <c r="O34" s="19">
        <f>O33*(Assumptions!$C$15/Assumptions!$F$5)</f>
        <v>538.03493464877499</v>
      </c>
      <c r="P34" s="19">
        <f>P33*(Assumptions!$C$15/Assumptions!$F$5)</f>
        <v>530.27759807259338</v>
      </c>
      <c r="Q34" s="19">
        <f>Q33*(Assumptions!$C$15/Assumptions!$F$5)</f>
        <v>521.45843730258753</v>
      </c>
      <c r="R34" s="19">
        <f>R33*(Assumptions!$C$15/Assumptions!$F$5)</f>
        <v>512.09155456409599</v>
      </c>
    </row>
    <row r="35" spans="3:18" x14ac:dyDescent="0.3">
      <c r="C35" s="19">
        <f>C34*C14</f>
        <v>105.18750000000001</v>
      </c>
      <c r="D35" s="19">
        <f>D34*D14</f>
        <v>173.584125</v>
      </c>
      <c r="E35" s="19">
        <f t="shared" ref="E35:R35" si="11">E34*E14</f>
        <v>242.87642774999998</v>
      </c>
      <c r="F35" s="19">
        <f t="shared" si="11"/>
        <v>310.02889029749997</v>
      </c>
      <c r="G35" s="19">
        <f t="shared" si="11"/>
        <v>361.4112178541011</v>
      </c>
      <c r="H35" s="19">
        <f t="shared" si="11"/>
        <v>401.64438970337176</v>
      </c>
      <c r="I35" s="19">
        <f t="shared" si="11"/>
        <v>429.53042141169027</v>
      </c>
      <c r="J35" s="19">
        <f t="shared" si="11"/>
        <v>445.13013078930391</v>
      </c>
      <c r="K35" s="19">
        <f t="shared" si="11"/>
        <v>449.50441836387824</v>
      </c>
      <c r="L35" s="19">
        <f t="shared" si="11"/>
        <v>444.35676987847262</v>
      </c>
      <c r="M35" s="19">
        <f t="shared" si="11"/>
        <v>437.13157356131023</v>
      </c>
      <c r="N35" s="19">
        <f t="shared" si="11"/>
        <v>435.10154933309082</v>
      </c>
      <c r="O35" s="19">
        <f t="shared" si="11"/>
        <v>430.42794771902004</v>
      </c>
      <c r="P35" s="19">
        <f t="shared" si="11"/>
        <v>424.22207845807475</v>
      </c>
      <c r="Q35" s="19">
        <f t="shared" si="11"/>
        <v>417.16674984207003</v>
      </c>
      <c r="R35" s="19">
        <f t="shared" si="11"/>
        <v>409.67324365127683</v>
      </c>
    </row>
    <row r="36" spans="3:18" x14ac:dyDescent="0.3">
      <c r="C36" s="19">
        <f>C34*C15</f>
        <v>0</v>
      </c>
      <c r="D36" s="19">
        <f>D34*D15</f>
        <v>0</v>
      </c>
      <c r="E36" s="19">
        <f t="shared" ref="E36:R36" si="12">E34*E15</f>
        <v>0</v>
      </c>
      <c r="F36" s="19">
        <f t="shared" si="12"/>
        <v>0</v>
      </c>
      <c r="G36" s="19">
        <f t="shared" si="12"/>
        <v>11.177666531570136</v>
      </c>
      <c r="H36" s="19">
        <f t="shared" si="12"/>
        <v>25.636875938513093</v>
      </c>
      <c r="I36" s="19">
        <f t="shared" si="12"/>
        <v>42.481030689068263</v>
      </c>
      <c r="J36" s="19">
        <f t="shared" si="12"/>
        <v>60.699563289450531</v>
      </c>
      <c r="K36" s="19">
        <f t="shared" si="12"/>
        <v>79.324309123037338</v>
      </c>
      <c r="L36" s="19">
        <f t="shared" si="12"/>
        <v>97.541729973323243</v>
      </c>
      <c r="M36" s="19">
        <f t="shared" si="12"/>
        <v>109.28289339032756</v>
      </c>
      <c r="N36" s="19">
        <f t="shared" si="12"/>
        <v>108.7753873332727</v>
      </c>
      <c r="O36" s="19">
        <f t="shared" si="12"/>
        <v>107.60698692975501</v>
      </c>
      <c r="P36" s="19">
        <f t="shared" si="12"/>
        <v>106.05551961451869</v>
      </c>
      <c r="Q36" s="19">
        <f t="shared" si="12"/>
        <v>104.29168746051751</v>
      </c>
      <c r="R36" s="19">
        <f t="shared" si="12"/>
        <v>102.41831091281921</v>
      </c>
    </row>
    <row r="37" spans="3:18" x14ac:dyDescent="0.3">
      <c r="C37" s="19">
        <f>C27</f>
        <v>487.08000000000004</v>
      </c>
      <c r="D37" s="19">
        <f>D27</f>
        <v>492.12701999999996</v>
      </c>
      <c r="E37" s="19">
        <f t="shared" ref="E37:R37" si="13">E27</f>
        <v>475.06924079999999</v>
      </c>
      <c r="F37" s="19">
        <f t="shared" si="13"/>
        <v>440.14544078670002</v>
      </c>
      <c r="G37" s="19">
        <f t="shared" si="13"/>
        <v>392.55092614653302</v>
      </c>
      <c r="H37" s="19">
        <f t="shared" si="13"/>
        <v>332.97505105542928</v>
      </c>
      <c r="I37" s="19">
        <f t="shared" si="13"/>
        <v>268.84683465954038</v>
      </c>
      <c r="J37" s="19">
        <f t="shared" si="13"/>
        <v>206.73698083163134</v>
      </c>
      <c r="K37" s="19">
        <f t="shared" si="13"/>
        <v>151.47477972540582</v>
      </c>
      <c r="L37" s="19">
        <f t="shared" si="13"/>
        <v>105.77720842768436</v>
      </c>
      <c r="M37" s="19">
        <f t="shared" si="13"/>
        <v>65.974129857489359</v>
      </c>
      <c r="N37" s="19">
        <f t="shared" si="13"/>
        <v>41.185562132659392</v>
      </c>
      <c r="O37" s="19">
        <f t="shared" si="13"/>
        <v>25.8364304704657</v>
      </c>
      <c r="P37" s="19">
        <f t="shared" si="13"/>
        <v>16.309069750181362</v>
      </c>
      <c r="Q37" s="19">
        <f t="shared" si="13"/>
        <v>10.305734110004312</v>
      </c>
      <c r="R37" s="19">
        <f t="shared" si="13"/>
        <v>6.3979695545112518</v>
      </c>
    </row>
    <row r="38" spans="3:18" x14ac:dyDescent="0.3">
      <c r="C38" s="19">
        <f>Assumptions!$C$16*Assumptions!$C$18*C19</f>
        <v>10.35</v>
      </c>
      <c r="D38" s="19">
        <f>Assumptions!$C$16*Assumptions!$C$18*(1+Assumptions!$C$18)^(D$3-2010)*D19</f>
        <v>11.817000000000002</v>
      </c>
      <c r="E38" s="19">
        <f>Assumptions!$C$16*Assumptions!$C$18*(1+Assumptions!$C$18)^(E$3-2010)*E19</f>
        <v>13.312305000000002</v>
      </c>
      <c r="F38" s="19">
        <f>Assumptions!$C$16*Assumptions!$C$18*(1+Assumptions!$C$18)^(F$3-2010)*F19</f>
        <v>14.836334400000002</v>
      </c>
      <c r="G38" s="19">
        <f>Assumptions!$C$16*Assumptions!$C$18*(1+Assumptions!$C$18)^(G$3-2010)*G19</f>
        <v>16.389513157500005</v>
      </c>
      <c r="H38" s="19">
        <f>Assumptions!$C$16*Assumptions!$C$18*(1+Assumptions!$C$18)^(H$3-2010)*H19</f>
        <v>17.972271856710005</v>
      </c>
      <c r="I38" s="19">
        <f>Assumptions!$C$16*Assumptions!$C$18*(1+Assumptions!$C$18)^(I$3-2010)*I19</f>
        <v>19.58504677858846</v>
      </c>
      <c r="J38" s="19">
        <f>Assumptions!$C$16*Assumptions!$C$18*(1+Assumptions!$C$18)^(J$3-2010)*J19</f>
        <v>21.228279971718802</v>
      </c>
      <c r="K38" s="19">
        <f>Assumptions!$C$16*Assumptions!$C$18*(1+Assumptions!$C$18)^(K$3-2010)*K19</f>
        <v>22.902419324033907</v>
      </c>
      <c r="L38" s="19">
        <f>Assumptions!$C$16*Assumptions!$C$18*(1+Assumptions!$C$18)^(L$3-2010)*L19</f>
        <v>24.607918635398125</v>
      </c>
      <c r="M38" s="19">
        <f>Assumptions!$C$16*Assumptions!$C$18*(1+Assumptions!$C$18)^(M$3-2010)*M19</f>
        <v>24.853997821752106</v>
      </c>
      <c r="N38" s="19">
        <f>Assumptions!$C$16*Assumptions!$C$18*(1+Assumptions!$C$18)^(N$3-2010)*N19</f>
        <v>25.102537799969621</v>
      </c>
      <c r="O38" s="19">
        <f>Assumptions!$C$16*Assumptions!$C$18*(1+Assumptions!$C$18)^(O$3-2010)*O19</f>
        <v>25.35356317796932</v>
      </c>
      <c r="P38" s="19">
        <f>Assumptions!$C$16*Assumptions!$C$18*(1+Assumptions!$C$18)^(P$3-2010)*P19</f>
        <v>25.607098809749015</v>
      </c>
      <c r="Q38" s="19">
        <f>Assumptions!$C$16*Assumptions!$C$18*(1+Assumptions!$C$18)^(Q$3-2010)*Q19</f>
        <v>25.863169797846506</v>
      </c>
      <c r="R38" s="19">
        <f>Assumptions!$C$16*Assumptions!$C$18*(1+Assumptions!$C$18)^(R$3-2010)*R19</f>
        <v>26.121801495824965</v>
      </c>
    </row>
    <row r="39" spans="3:18" x14ac:dyDescent="0.3">
      <c r="C39" s="19">
        <f>C33-C34+C35+C37+C38</f>
        <v>1262.4299999999998</v>
      </c>
      <c r="D39" s="19">
        <f>D33-D34+D35+D37+D38</f>
        <v>1766.3740199999997</v>
      </c>
      <c r="E39" s="19">
        <f t="shared" ref="E39:R39" si="14">E33-E34+E35+E37+E38</f>
        <v>2254.7555657999997</v>
      </c>
      <c r="F39" s="19">
        <f t="shared" si="14"/>
        <v>2709.7373409866996</v>
      </c>
      <c r="G39" s="19">
        <f t="shared" si="14"/>
        <v>3107.5001137591626</v>
      </c>
      <c r="H39" s="19">
        <f t="shared" si="14"/>
        <v>3432.8105607327889</v>
      </c>
      <c r="I39" s="19">
        <f t="shared" si="14"/>
        <v>3678.7614114818498</v>
      </c>
      <c r="J39" s="19">
        <f t="shared" si="14"/>
        <v>3846.0271089957491</v>
      </c>
      <c r="K39" s="19">
        <f t="shared" si="14"/>
        <v>3941.0799989221514</v>
      </c>
      <c r="L39" s="19">
        <f t="shared" si="14"/>
        <v>3973.9233960119109</v>
      </c>
      <c r="M39" s="19">
        <f t="shared" si="14"/>
        <v>3955.4686303008252</v>
      </c>
      <c r="N39" s="19">
        <f t="shared" si="14"/>
        <v>3912.9813429001815</v>
      </c>
      <c r="O39" s="19">
        <f t="shared" si="14"/>
        <v>3856.5643496188609</v>
      </c>
      <c r="P39" s="19">
        <f t="shared" si="14"/>
        <v>3792.4249985642728</v>
      </c>
      <c r="Q39" s="19">
        <f t="shared" si="14"/>
        <v>3724.3022150116067</v>
      </c>
      <c r="R39" s="19">
        <f t="shared" si="14"/>
        <v>3654.403675149124</v>
      </c>
    </row>
    <row r="42" spans="3:18" x14ac:dyDescent="0.3">
      <c r="C42" s="19">
        <f>Assumptions!C16*Assumptions!G6</f>
        <v>45</v>
      </c>
      <c r="D42" s="19">
        <f>C48</f>
        <v>86.94</v>
      </c>
      <c r="E42" s="19">
        <f t="shared" ref="E42:R42" si="15">D48</f>
        <v>124.81892999999999</v>
      </c>
      <c r="F42" s="19">
        <f t="shared" si="15"/>
        <v>158.64216254999999</v>
      </c>
      <c r="G42" s="19">
        <f t="shared" si="15"/>
        <v>188.65831243815001</v>
      </c>
      <c r="H42" s="19">
        <f t="shared" si="15"/>
        <v>246.11514865187345</v>
      </c>
      <c r="I42" s="19">
        <f t="shared" si="15"/>
        <v>325.67089477648233</v>
      </c>
      <c r="J42" s="19">
        <f t="shared" si="15"/>
        <v>422.99109666532019</v>
      </c>
      <c r="K42" s="19">
        <f t="shared" si="15"/>
        <v>535.02683345591709</v>
      </c>
      <c r="L42" s="19">
        <f t="shared" si="15"/>
        <v>659.96673292206549</v>
      </c>
      <c r="M42" s="19">
        <f t="shared" si="15"/>
        <v>796.95456270975399</v>
      </c>
      <c r="N42" s="19">
        <f t="shared" si="15"/>
        <v>940.23419595776841</v>
      </c>
      <c r="O42" s="19">
        <f t="shared" si="15"/>
        <v>1079.439079146817</v>
      </c>
      <c r="P42" s="19">
        <f t="shared" si="15"/>
        <v>1215.4339888455434</v>
      </c>
      <c r="Q42" s="19">
        <f t="shared" si="15"/>
        <v>1348.9794637019845</v>
      </c>
      <c r="R42" s="19">
        <f t="shared" si="15"/>
        <v>1480.6702976245656</v>
      </c>
    </row>
    <row r="43" spans="3:18" x14ac:dyDescent="0.3">
      <c r="C43" s="19">
        <f>C42*(Assumptions!$C$15/Assumptions!$F$6)</f>
        <v>0.99</v>
      </c>
      <c r="D43" s="19">
        <f>D42*(Assumptions!$C$15/Assumptions!$F$6)</f>
        <v>1.9126799999999999</v>
      </c>
      <c r="E43" s="19">
        <f>E42*(Assumptions!$C$15/Assumptions!$F$6)</f>
        <v>2.7460164599999999</v>
      </c>
      <c r="F43" s="19">
        <f>F42*(Assumptions!$C$15/Assumptions!$F$6)</f>
        <v>3.4901275760999995</v>
      </c>
      <c r="G43" s="19">
        <f>G42*(Assumptions!$C$15/Assumptions!$F$6)</f>
        <v>4.1504828736392998</v>
      </c>
      <c r="H43" s="19">
        <f>H42*(Assumptions!$C$15/Assumptions!$F$6)</f>
        <v>5.4145332703412157</v>
      </c>
      <c r="I43" s="19">
        <f>I42*(Assumptions!$C$15/Assumptions!$F$6)</f>
        <v>7.1647596850826112</v>
      </c>
      <c r="J43" s="19">
        <f>J42*(Assumptions!$C$15/Assumptions!$F$6)</f>
        <v>9.3058041266370441</v>
      </c>
      <c r="K43" s="19">
        <f>K42*(Assumptions!$C$15/Assumptions!$F$6)</f>
        <v>11.770590336030175</v>
      </c>
      <c r="L43" s="19">
        <f>L42*(Assumptions!$C$15/Assumptions!$F$6)</f>
        <v>14.519268124285439</v>
      </c>
      <c r="M43" s="19">
        <f>M42*(Assumptions!$C$15/Assumptions!$F$6)</f>
        <v>17.533000379614588</v>
      </c>
      <c r="N43" s="19">
        <f>N42*(Assumptions!$C$15/Assumptions!$F$6)</f>
        <v>20.685152311070905</v>
      </c>
      <c r="O43" s="19">
        <f>O42*(Assumptions!$C$15/Assumptions!$F$6)</f>
        <v>23.747659741229974</v>
      </c>
      <c r="P43" s="19">
        <f>P42*(Assumptions!$C$15/Assumptions!$F$6)</f>
        <v>26.739547754601951</v>
      </c>
      <c r="Q43" s="19">
        <f>Q42*(Assumptions!$C$15/Assumptions!$F$6)</f>
        <v>29.677548201443656</v>
      </c>
      <c r="R43" s="19">
        <f>R42*(Assumptions!$C$15/Assumptions!$F$6)</f>
        <v>32.574746547740439</v>
      </c>
    </row>
    <row r="44" spans="3:18" x14ac:dyDescent="0.3">
      <c r="C44" s="19">
        <f>C43</f>
        <v>0.99</v>
      </c>
      <c r="D44" s="19">
        <f>D43</f>
        <v>1.9126799999999999</v>
      </c>
      <c r="E44" s="19">
        <f t="shared" ref="E44:R44" si="16">E43</f>
        <v>2.7460164599999999</v>
      </c>
      <c r="F44" s="19">
        <f t="shared" si="16"/>
        <v>3.4901275760999995</v>
      </c>
      <c r="G44" s="19">
        <f t="shared" si="16"/>
        <v>4.1504828736392998</v>
      </c>
      <c r="H44" s="19">
        <f t="shared" si="16"/>
        <v>5.4145332703412157</v>
      </c>
      <c r="I44" s="19">
        <f t="shared" si="16"/>
        <v>7.1647596850826112</v>
      </c>
      <c r="J44" s="19">
        <f t="shared" si="16"/>
        <v>9.3058041266370441</v>
      </c>
      <c r="K44" s="19">
        <f t="shared" si="16"/>
        <v>11.770590336030175</v>
      </c>
      <c r="L44" s="19">
        <f t="shared" si="16"/>
        <v>14.519268124285439</v>
      </c>
      <c r="M44" s="19">
        <f t="shared" si="16"/>
        <v>17.533000379614588</v>
      </c>
      <c r="N44" s="19">
        <f t="shared" si="16"/>
        <v>20.685152311070905</v>
      </c>
      <c r="O44" s="19">
        <f t="shared" si="16"/>
        <v>23.747659741229974</v>
      </c>
      <c r="P44" s="19">
        <f t="shared" si="16"/>
        <v>26.739547754601951</v>
      </c>
      <c r="Q44" s="19">
        <f t="shared" si="16"/>
        <v>29.677548201443656</v>
      </c>
      <c r="R44" s="19">
        <f t="shared" si="16"/>
        <v>32.574746547740439</v>
      </c>
    </row>
    <row r="45" spans="3:18" x14ac:dyDescent="0.3">
      <c r="C45" s="19">
        <f>C28</f>
        <v>40.590000000000003</v>
      </c>
      <c r="D45" s="19">
        <f>D28</f>
        <v>35.15193</v>
      </c>
      <c r="E45" s="19">
        <f t="shared" ref="E45:R45" si="17">E28</f>
        <v>29.691827550000003</v>
      </c>
      <c r="F45" s="19">
        <f t="shared" si="17"/>
        <v>24.452524488150008</v>
      </c>
      <c r="G45" s="19">
        <f t="shared" si="17"/>
        <v>39.255092614653314</v>
      </c>
      <c r="H45" s="19">
        <f t="shared" si="17"/>
        <v>45.405688780285821</v>
      </c>
      <c r="I45" s="19">
        <f t="shared" si="17"/>
        <v>44.807805776590079</v>
      </c>
      <c r="J45" s="19">
        <f t="shared" si="17"/>
        <v>39.757111698390652</v>
      </c>
      <c r="K45" s="19">
        <f t="shared" si="17"/>
        <v>32.458881369729824</v>
      </c>
      <c r="L45" s="19">
        <f t="shared" si="17"/>
        <v>24.681348633126351</v>
      </c>
      <c r="M45" s="19">
        <f t="shared" si="17"/>
        <v>17.593101295330495</v>
      </c>
      <c r="N45" s="19">
        <f t="shared" si="17"/>
        <v>12.355668639797818</v>
      </c>
      <c r="O45" s="19">
        <f t="shared" si="17"/>
        <v>8.6121434901552334</v>
      </c>
      <c r="P45" s="19">
        <f t="shared" si="17"/>
        <v>5.9799922417331661</v>
      </c>
      <c r="Q45" s="19">
        <f t="shared" si="17"/>
        <v>4.1222936440017239</v>
      </c>
      <c r="R45" s="19">
        <f t="shared" si="17"/>
        <v>2.772453473621542</v>
      </c>
    </row>
    <row r="46" spans="3:18" x14ac:dyDescent="0.3">
      <c r="C46" s="19">
        <f>C36</f>
        <v>0</v>
      </c>
      <c r="D46" s="19">
        <f>D36</f>
        <v>0</v>
      </c>
      <c r="E46" s="19">
        <f t="shared" ref="E46:R46" si="18">E36</f>
        <v>0</v>
      </c>
      <c r="F46" s="19">
        <f t="shared" si="18"/>
        <v>0</v>
      </c>
      <c r="G46" s="19">
        <f t="shared" si="18"/>
        <v>11.177666531570136</v>
      </c>
      <c r="H46" s="19">
        <f t="shared" si="18"/>
        <v>25.636875938513093</v>
      </c>
      <c r="I46" s="19">
        <f t="shared" si="18"/>
        <v>42.481030689068263</v>
      </c>
      <c r="J46" s="19">
        <f t="shared" si="18"/>
        <v>60.699563289450531</v>
      </c>
      <c r="K46" s="19">
        <f t="shared" si="18"/>
        <v>79.324309123037338</v>
      </c>
      <c r="L46" s="19">
        <f t="shared" si="18"/>
        <v>97.541729973323243</v>
      </c>
      <c r="M46" s="19">
        <f t="shared" si="18"/>
        <v>109.28289339032756</v>
      </c>
      <c r="N46" s="19">
        <f t="shared" si="18"/>
        <v>108.7753873332727</v>
      </c>
      <c r="O46" s="19">
        <f t="shared" si="18"/>
        <v>107.60698692975501</v>
      </c>
      <c r="P46" s="19">
        <f t="shared" si="18"/>
        <v>106.05551961451869</v>
      </c>
      <c r="Q46" s="19">
        <f t="shared" si="18"/>
        <v>104.29168746051751</v>
      </c>
      <c r="R46" s="19">
        <f t="shared" si="18"/>
        <v>102.41831091281921</v>
      </c>
    </row>
    <row r="47" spans="3:18" x14ac:dyDescent="0.3">
      <c r="C47" s="19">
        <f>Assumptions!$C$16*Assumptions!$C$18*C20</f>
        <v>1.3499999999999999</v>
      </c>
      <c r="D47" s="19">
        <f>Assumptions!$C$16*Assumptions!$C$18*(1+Assumptions!$C$18)^(D$3-2010)*D20</f>
        <v>2.7269999999999999</v>
      </c>
      <c r="E47" s="19">
        <f>Assumptions!$C$16*Assumptions!$C$18*(1+Assumptions!$C$18)^(E$3-2010)*E20</f>
        <v>4.131405</v>
      </c>
      <c r="F47" s="19">
        <f>Assumptions!$C$16*Assumptions!$C$18*(1+Assumptions!$C$18)^(F$3-2010)*F20</f>
        <v>5.5636253999999994</v>
      </c>
      <c r="G47" s="19">
        <f>Assumptions!$C$16*Assumptions!$C$18*(1+Assumptions!$C$18)^(G$3-2010)*G20</f>
        <v>7.0240770674999995</v>
      </c>
      <c r="H47" s="19">
        <f>Assumptions!$C$16*Assumptions!$C$18*(1+Assumptions!$C$18)^(H$3-2010)*H20</f>
        <v>8.5131814058100002</v>
      </c>
      <c r="I47" s="19">
        <f>Assumptions!$C$16*Assumptions!$C$18*(1+Assumptions!$C$18)^(I$3-2010)*I20</f>
        <v>10.031365423179452</v>
      </c>
      <c r="J47" s="19">
        <f>Assumptions!$C$16*Assumptions!$C$18*(1+Assumptions!$C$18)^(J$3-2010)*J20</f>
        <v>11.579061802755705</v>
      </c>
      <c r="K47" s="19">
        <f>Assumptions!$C$16*Assumptions!$C$18*(1+Assumptions!$C$18)^(K$3-2010)*K20</f>
        <v>13.156708973381175</v>
      </c>
      <c r="L47" s="19">
        <f>Assumptions!$C$16*Assumptions!$C$18*(1+Assumptions!$C$18)^(L$3-2010)*L20</f>
        <v>14.764751181238877</v>
      </c>
      <c r="M47" s="19">
        <f>Assumptions!$C$16*Assumptions!$C$18*(1+Assumptions!$C$18)^(M$3-2010)*M20</f>
        <v>16.403638562356395</v>
      </c>
      <c r="N47" s="19">
        <f>Assumptions!$C$16*Assumptions!$C$18*(1+Assumptions!$C$18)^(N$3-2010)*N20</f>
        <v>18.073827215978131</v>
      </c>
      <c r="O47" s="19">
        <f>Assumptions!$C$16*Assumptions!$C$18*(1+Assumptions!$C$18)^(O$3-2010)*O20</f>
        <v>19.775779278816078</v>
      </c>
      <c r="P47" s="19">
        <f>Assumptions!$C$16*Assumptions!$C$18*(1+Assumptions!$C$18)^(P$3-2010)*P20</f>
        <v>21.509963000189181</v>
      </c>
      <c r="Q47" s="19">
        <f>Assumptions!$C$16*Assumptions!$C$18*(1+Assumptions!$C$18)^(Q$3-2010)*Q20</f>
        <v>23.276852818061865</v>
      </c>
      <c r="R47" s="19">
        <f>Assumptions!$C$16*Assumptions!$C$18*(1+Assumptions!$C$18)^(R$3-2010)*R20</f>
        <v>25.076929435991978</v>
      </c>
    </row>
    <row r="48" spans="3:18" x14ac:dyDescent="0.3">
      <c r="C48" s="19">
        <f>C42-C43+C44+C45+C46+C47</f>
        <v>86.94</v>
      </c>
      <c r="D48" s="19">
        <f>D42-D43+D44+D45+D46+D47</f>
        <v>124.81892999999999</v>
      </c>
      <c r="E48" s="19">
        <f t="shared" ref="E48:R48" si="19">E42-E43+E44+E45+E46+E47</f>
        <v>158.64216254999999</v>
      </c>
      <c r="F48" s="19">
        <f t="shared" si="19"/>
        <v>188.65831243815001</v>
      </c>
      <c r="G48" s="19">
        <f t="shared" si="19"/>
        <v>246.11514865187345</v>
      </c>
      <c r="H48" s="19">
        <f t="shared" si="19"/>
        <v>325.67089477648233</v>
      </c>
      <c r="I48" s="19">
        <f t="shared" si="19"/>
        <v>422.99109666532019</v>
      </c>
      <c r="J48" s="19">
        <f t="shared" si="19"/>
        <v>535.02683345591709</v>
      </c>
      <c r="K48" s="19">
        <f t="shared" si="19"/>
        <v>659.96673292206549</v>
      </c>
      <c r="L48" s="19">
        <f t="shared" si="19"/>
        <v>796.95456270975399</v>
      </c>
      <c r="M48" s="19">
        <f t="shared" si="19"/>
        <v>940.23419595776841</v>
      </c>
      <c r="N48" s="19">
        <f t="shared" si="19"/>
        <v>1079.439079146817</v>
      </c>
      <c r="O48" s="19">
        <f t="shared" si="19"/>
        <v>1215.4339888455434</v>
      </c>
      <c r="P48" s="19">
        <f t="shared" si="19"/>
        <v>1348.9794637019845</v>
      </c>
      <c r="Q48" s="19">
        <f t="shared" si="19"/>
        <v>1480.6702976245656</v>
      </c>
      <c r="R48" s="19">
        <f t="shared" si="19"/>
        <v>1610.9379914469982</v>
      </c>
    </row>
    <row r="50" spans="1:18" x14ac:dyDescent="0.3">
      <c r="A50" s="3" t="s">
        <v>75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3">
      <c r="A51" t="s">
        <v>76</v>
      </c>
      <c r="C51" s="19">
        <f>C26</f>
        <v>3531.3300000000004</v>
      </c>
      <c r="D51" s="19">
        <f t="shared" ref="D51:R51" si="20">D26</f>
        <v>2987.9140500000003</v>
      </c>
      <c r="E51" s="19">
        <f t="shared" si="20"/>
        <v>2464.4216866500005</v>
      </c>
      <c r="F51" s="19">
        <f t="shared" si="20"/>
        <v>1980.6544835401507</v>
      </c>
      <c r="G51" s="19">
        <f t="shared" si="20"/>
        <v>1530.9486119714793</v>
      </c>
      <c r="H51" s="19">
        <f t="shared" si="20"/>
        <v>1135.1422195071455</v>
      </c>
      <c r="I51" s="19">
        <f t="shared" si="20"/>
        <v>806.54050397862136</v>
      </c>
      <c r="J51" s="19">
        <f t="shared" si="20"/>
        <v>548.64814143779097</v>
      </c>
      <c r="K51" s="19">
        <f t="shared" si="20"/>
        <v>357.04769506702803</v>
      </c>
      <c r="L51" s="19">
        <f t="shared" si="20"/>
        <v>222.13213769813711</v>
      </c>
      <c r="M51" s="19">
        <f t="shared" si="20"/>
        <v>136.34653503881134</v>
      </c>
      <c r="N51" s="19">
        <f t="shared" si="20"/>
        <v>83.743976336407442</v>
      </c>
      <c r="O51" s="19">
        <f t="shared" si="20"/>
        <v>51.6728609409314</v>
      </c>
      <c r="P51" s="19">
        <f t="shared" si="20"/>
        <v>32.074503842023347</v>
      </c>
      <c r="Q51" s="19">
        <f t="shared" si="20"/>
        <v>19.92441927934167</v>
      </c>
      <c r="R51" s="19">
        <f t="shared" si="20"/>
        <v>12.156142153571377</v>
      </c>
    </row>
    <row r="52" spans="1:18" x14ac:dyDescent="0.3">
      <c r="A52" t="s">
        <v>77</v>
      </c>
      <c r="C52" s="19">
        <f>C29</f>
        <v>33.299999999999997</v>
      </c>
      <c r="D52" s="19">
        <f t="shared" ref="D52:R52" si="21">D29</f>
        <v>30.905999999999999</v>
      </c>
      <c r="E52" s="19">
        <f t="shared" si="21"/>
        <v>28.460789999999999</v>
      </c>
      <c r="F52" s="19">
        <f t="shared" si="21"/>
        <v>25.963585199999994</v>
      </c>
      <c r="G52" s="19">
        <f t="shared" si="21"/>
        <v>23.413590224999997</v>
      </c>
      <c r="H52" s="19">
        <f t="shared" si="21"/>
        <v>20.809998991979995</v>
      </c>
      <c r="I52" s="19">
        <f t="shared" si="21"/>
        <v>18.151994575277097</v>
      </c>
      <c r="J52" s="19">
        <f t="shared" si="21"/>
        <v>15.438749070340933</v>
      </c>
      <c r="K52" s="19">
        <f t="shared" si="21"/>
        <v>12.669423455848529</v>
      </c>
      <c r="L52" s="19">
        <f t="shared" si="21"/>
        <v>9.8431674541592482</v>
      </c>
      <c r="M52" s="19">
        <f t="shared" si="21"/>
        <v>8.4503592593957126</v>
      </c>
      <c r="N52" s="19">
        <f t="shared" si="21"/>
        <v>7.0287105839914892</v>
      </c>
      <c r="O52" s="19">
        <f t="shared" si="21"/>
        <v>5.5777838991532445</v>
      </c>
      <c r="P52" s="19">
        <f t="shared" si="21"/>
        <v>4.0971358095598349</v>
      </c>
      <c r="Q52" s="19">
        <f t="shared" si="21"/>
        <v>2.5863169797846415</v>
      </c>
      <c r="R52" s="19">
        <f t="shared" si="21"/>
        <v>1.0448720598329879</v>
      </c>
    </row>
    <row r="53" spans="1:18" x14ac:dyDescent="0.3">
      <c r="A53" s="21" t="s">
        <v>78</v>
      </c>
      <c r="B53" s="22"/>
      <c r="C53" s="23">
        <f>C51+C52</f>
        <v>3564.6300000000006</v>
      </c>
      <c r="D53" s="23">
        <f t="shared" ref="D53:R53" si="22">D51+D52</f>
        <v>3018.8200500000003</v>
      </c>
      <c r="E53" s="23">
        <f t="shared" si="22"/>
        <v>2492.8824766500006</v>
      </c>
      <c r="F53" s="23">
        <f t="shared" si="22"/>
        <v>2006.6180687401506</v>
      </c>
      <c r="G53" s="23">
        <f t="shared" si="22"/>
        <v>1554.3622021964793</v>
      </c>
      <c r="H53" s="23">
        <f t="shared" si="22"/>
        <v>1155.9522184991254</v>
      </c>
      <c r="I53" s="23">
        <f t="shared" si="22"/>
        <v>824.69249855389842</v>
      </c>
      <c r="J53" s="23">
        <f t="shared" si="22"/>
        <v>564.08689050813189</v>
      </c>
      <c r="K53" s="23">
        <f t="shared" si="22"/>
        <v>369.71711852287655</v>
      </c>
      <c r="L53" s="23">
        <f t="shared" si="22"/>
        <v>231.97530515229636</v>
      </c>
      <c r="M53" s="23">
        <f t="shared" si="22"/>
        <v>144.79689429820706</v>
      </c>
      <c r="N53" s="23">
        <f t="shared" si="22"/>
        <v>90.772686920398925</v>
      </c>
      <c r="O53" s="23">
        <f t="shared" si="22"/>
        <v>57.250644840084647</v>
      </c>
      <c r="P53" s="23">
        <f t="shared" si="22"/>
        <v>36.171639651583185</v>
      </c>
      <c r="Q53" s="23">
        <f t="shared" si="22"/>
        <v>22.510736259126311</v>
      </c>
      <c r="R53" s="23">
        <f t="shared" si="22"/>
        <v>13.201014213404365</v>
      </c>
    </row>
    <row r="54" spans="1:18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1:18" x14ac:dyDescent="0.3">
      <c r="A55" t="s">
        <v>79</v>
      </c>
      <c r="C55" s="19">
        <f>C35</f>
        <v>105.18750000000001</v>
      </c>
      <c r="D55" s="19">
        <f t="shared" ref="D55:R55" si="23">D35</f>
        <v>173.584125</v>
      </c>
      <c r="E55" s="19">
        <f t="shared" si="23"/>
        <v>242.87642774999998</v>
      </c>
      <c r="F55" s="19">
        <f t="shared" si="23"/>
        <v>310.02889029749997</v>
      </c>
      <c r="G55" s="19">
        <f t="shared" si="23"/>
        <v>361.4112178541011</v>
      </c>
      <c r="H55" s="19">
        <f t="shared" si="23"/>
        <v>401.64438970337176</v>
      </c>
      <c r="I55" s="19">
        <f t="shared" si="23"/>
        <v>429.53042141169027</v>
      </c>
      <c r="J55" s="19">
        <f t="shared" si="23"/>
        <v>445.13013078930391</v>
      </c>
      <c r="K55" s="19">
        <f t="shared" si="23"/>
        <v>449.50441836387824</v>
      </c>
      <c r="L55" s="19">
        <f t="shared" si="23"/>
        <v>444.35676987847262</v>
      </c>
      <c r="M55" s="19">
        <f t="shared" si="23"/>
        <v>437.13157356131023</v>
      </c>
      <c r="N55" s="19">
        <f t="shared" si="23"/>
        <v>435.10154933309082</v>
      </c>
      <c r="O55" s="19">
        <f t="shared" si="23"/>
        <v>430.42794771902004</v>
      </c>
      <c r="P55" s="19">
        <f t="shared" si="23"/>
        <v>424.22207845807475</v>
      </c>
      <c r="Q55" s="19">
        <f t="shared" si="23"/>
        <v>417.16674984207003</v>
      </c>
      <c r="R55" s="19">
        <f t="shared" si="23"/>
        <v>409.67324365127683</v>
      </c>
    </row>
    <row r="56" spans="1:18" x14ac:dyDescent="0.3">
      <c r="A56" t="s">
        <v>80</v>
      </c>
      <c r="C56" s="19">
        <f>C37</f>
        <v>487.08000000000004</v>
      </c>
      <c r="D56" s="19">
        <f t="shared" ref="D56:R56" si="24">D37</f>
        <v>492.12701999999996</v>
      </c>
      <c r="E56" s="19">
        <f t="shared" si="24"/>
        <v>475.06924079999999</v>
      </c>
      <c r="F56" s="19">
        <f t="shared" si="24"/>
        <v>440.14544078670002</v>
      </c>
      <c r="G56" s="19">
        <f t="shared" si="24"/>
        <v>392.55092614653302</v>
      </c>
      <c r="H56" s="19">
        <f t="shared" si="24"/>
        <v>332.97505105542928</v>
      </c>
      <c r="I56" s="19">
        <f t="shared" si="24"/>
        <v>268.84683465954038</v>
      </c>
      <c r="J56" s="19">
        <f t="shared" si="24"/>
        <v>206.73698083163134</v>
      </c>
      <c r="K56" s="19">
        <f t="shared" si="24"/>
        <v>151.47477972540582</v>
      </c>
      <c r="L56" s="19">
        <f t="shared" si="24"/>
        <v>105.77720842768436</v>
      </c>
      <c r="M56" s="19">
        <f t="shared" si="24"/>
        <v>65.974129857489359</v>
      </c>
      <c r="N56" s="19">
        <f t="shared" si="24"/>
        <v>41.185562132659392</v>
      </c>
      <c r="O56" s="19">
        <f t="shared" si="24"/>
        <v>25.8364304704657</v>
      </c>
      <c r="P56" s="19">
        <f t="shared" si="24"/>
        <v>16.309069750181362</v>
      </c>
      <c r="Q56" s="19">
        <f t="shared" si="24"/>
        <v>10.305734110004312</v>
      </c>
      <c r="R56" s="19">
        <f t="shared" si="24"/>
        <v>6.3979695545112518</v>
      </c>
    </row>
    <row r="57" spans="1:18" x14ac:dyDescent="0.3">
      <c r="A57" t="s">
        <v>81</v>
      </c>
      <c r="C57" s="19">
        <f>C38</f>
        <v>10.35</v>
      </c>
      <c r="D57" s="19">
        <f t="shared" ref="D57:R57" si="25">D38</f>
        <v>11.817000000000002</v>
      </c>
      <c r="E57" s="19">
        <f t="shared" si="25"/>
        <v>13.312305000000002</v>
      </c>
      <c r="F57" s="19">
        <f t="shared" si="25"/>
        <v>14.836334400000002</v>
      </c>
      <c r="G57" s="19">
        <f t="shared" si="25"/>
        <v>16.389513157500005</v>
      </c>
      <c r="H57" s="19">
        <f t="shared" si="25"/>
        <v>17.972271856710005</v>
      </c>
      <c r="I57" s="19">
        <f t="shared" si="25"/>
        <v>19.58504677858846</v>
      </c>
      <c r="J57" s="19">
        <f t="shared" si="25"/>
        <v>21.228279971718802</v>
      </c>
      <c r="K57" s="19">
        <f t="shared" si="25"/>
        <v>22.902419324033907</v>
      </c>
      <c r="L57" s="19">
        <f t="shared" si="25"/>
        <v>24.607918635398125</v>
      </c>
      <c r="M57" s="19">
        <f t="shared" si="25"/>
        <v>24.853997821752106</v>
      </c>
      <c r="N57" s="19">
        <f t="shared" si="25"/>
        <v>25.102537799969621</v>
      </c>
      <c r="O57" s="19">
        <f t="shared" si="25"/>
        <v>25.35356317796932</v>
      </c>
      <c r="P57" s="19">
        <f t="shared" si="25"/>
        <v>25.607098809749015</v>
      </c>
      <c r="Q57" s="19">
        <f t="shared" si="25"/>
        <v>25.863169797846506</v>
      </c>
      <c r="R57" s="19">
        <f t="shared" si="25"/>
        <v>26.121801495824965</v>
      </c>
    </row>
    <row r="58" spans="1:18" x14ac:dyDescent="0.3">
      <c r="A58" s="21" t="s">
        <v>82</v>
      </c>
      <c r="B58" s="22"/>
      <c r="C58" s="23">
        <f>C55+C56+C57</f>
        <v>602.61750000000006</v>
      </c>
      <c r="D58" s="23">
        <f t="shared" ref="D58:R58" si="26">D55+D56+D57</f>
        <v>677.52814499999999</v>
      </c>
      <c r="E58" s="23">
        <f t="shared" si="26"/>
        <v>731.25797354999997</v>
      </c>
      <c r="F58" s="23">
        <f t="shared" si="26"/>
        <v>765.0106654842001</v>
      </c>
      <c r="G58" s="23">
        <f t="shared" si="26"/>
        <v>770.35165715813412</v>
      </c>
      <c r="H58" s="23">
        <f t="shared" si="26"/>
        <v>752.59171261551103</v>
      </c>
      <c r="I58" s="23">
        <f t="shared" si="26"/>
        <v>717.96230284981914</v>
      </c>
      <c r="J58" s="23">
        <f t="shared" si="26"/>
        <v>673.0953915926541</v>
      </c>
      <c r="K58" s="23">
        <f t="shared" si="26"/>
        <v>623.88161741331794</v>
      </c>
      <c r="L58" s="23">
        <f t="shared" si="26"/>
        <v>574.74189694155518</v>
      </c>
      <c r="M58" s="23">
        <f t="shared" si="26"/>
        <v>527.95970124055168</v>
      </c>
      <c r="N58" s="23">
        <f t="shared" si="26"/>
        <v>501.38964926571987</v>
      </c>
      <c r="O58" s="23">
        <f t="shared" si="26"/>
        <v>481.61794136745505</v>
      </c>
      <c r="P58" s="23">
        <f t="shared" si="26"/>
        <v>466.13824701800513</v>
      </c>
      <c r="Q58" s="23">
        <f t="shared" si="26"/>
        <v>453.33565374992088</v>
      </c>
      <c r="R58" s="23">
        <f t="shared" si="26"/>
        <v>442.19301470161304</v>
      </c>
    </row>
    <row r="59" spans="1:18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1:18" x14ac:dyDescent="0.3">
      <c r="A60" t="s">
        <v>83</v>
      </c>
      <c r="C60" s="19">
        <f>C44</f>
        <v>0.99</v>
      </c>
      <c r="D60" s="19">
        <f t="shared" ref="D60:R60" si="27">D44</f>
        <v>1.9126799999999999</v>
      </c>
      <c r="E60" s="19">
        <f t="shared" si="27"/>
        <v>2.7460164599999999</v>
      </c>
      <c r="F60" s="19">
        <f t="shared" si="27"/>
        <v>3.4901275760999995</v>
      </c>
      <c r="G60" s="19">
        <f t="shared" si="27"/>
        <v>4.1504828736392998</v>
      </c>
      <c r="H60" s="19">
        <f t="shared" si="27"/>
        <v>5.4145332703412157</v>
      </c>
      <c r="I60" s="19">
        <f t="shared" si="27"/>
        <v>7.1647596850826112</v>
      </c>
      <c r="J60" s="19">
        <f t="shared" si="27"/>
        <v>9.3058041266370441</v>
      </c>
      <c r="K60" s="19">
        <f t="shared" si="27"/>
        <v>11.770590336030175</v>
      </c>
      <c r="L60" s="19">
        <f t="shared" si="27"/>
        <v>14.519268124285439</v>
      </c>
      <c r="M60" s="19">
        <f t="shared" si="27"/>
        <v>17.533000379614588</v>
      </c>
      <c r="N60" s="19">
        <f t="shared" si="27"/>
        <v>20.685152311070905</v>
      </c>
      <c r="O60" s="19">
        <f t="shared" si="27"/>
        <v>23.747659741229974</v>
      </c>
      <c r="P60" s="19">
        <f t="shared" si="27"/>
        <v>26.739547754601951</v>
      </c>
      <c r="Q60" s="19">
        <f t="shared" si="27"/>
        <v>29.677548201443656</v>
      </c>
      <c r="R60" s="19">
        <f t="shared" si="27"/>
        <v>32.574746547740439</v>
      </c>
    </row>
    <row r="61" spans="1:18" x14ac:dyDescent="0.3">
      <c r="A61" t="s">
        <v>84</v>
      </c>
      <c r="C61" s="19">
        <f>C45</f>
        <v>40.590000000000003</v>
      </c>
      <c r="D61" s="19">
        <f t="shared" ref="D61:R61" si="28">D45</f>
        <v>35.15193</v>
      </c>
      <c r="E61" s="19">
        <f t="shared" si="28"/>
        <v>29.691827550000003</v>
      </c>
      <c r="F61" s="19">
        <f t="shared" si="28"/>
        <v>24.452524488150008</v>
      </c>
      <c r="G61" s="19">
        <f t="shared" si="28"/>
        <v>39.255092614653314</v>
      </c>
      <c r="H61" s="19">
        <f t="shared" si="28"/>
        <v>45.405688780285821</v>
      </c>
      <c r="I61" s="19">
        <f t="shared" si="28"/>
        <v>44.807805776590079</v>
      </c>
      <c r="J61" s="19">
        <f t="shared" si="28"/>
        <v>39.757111698390652</v>
      </c>
      <c r="K61" s="19">
        <f t="shared" si="28"/>
        <v>32.458881369729824</v>
      </c>
      <c r="L61" s="19">
        <f t="shared" si="28"/>
        <v>24.681348633126351</v>
      </c>
      <c r="M61" s="19">
        <f t="shared" si="28"/>
        <v>17.593101295330495</v>
      </c>
      <c r="N61" s="19">
        <f t="shared" si="28"/>
        <v>12.355668639797818</v>
      </c>
      <c r="O61" s="19">
        <f t="shared" si="28"/>
        <v>8.6121434901552334</v>
      </c>
      <c r="P61" s="19">
        <f t="shared" si="28"/>
        <v>5.9799922417331661</v>
      </c>
      <c r="Q61" s="19">
        <f t="shared" si="28"/>
        <v>4.1222936440017239</v>
      </c>
      <c r="R61" s="19">
        <f t="shared" si="28"/>
        <v>2.772453473621542</v>
      </c>
    </row>
    <row r="62" spans="1:18" x14ac:dyDescent="0.3">
      <c r="A62" t="s">
        <v>85</v>
      </c>
      <c r="C62" s="19">
        <f>C46</f>
        <v>0</v>
      </c>
      <c r="D62" s="19">
        <f t="shared" ref="D62:R62" si="29">D46</f>
        <v>0</v>
      </c>
      <c r="E62" s="19">
        <f t="shared" si="29"/>
        <v>0</v>
      </c>
      <c r="F62" s="19">
        <f t="shared" si="29"/>
        <v>0</v>
      </c>
      <c r="G62" s="19">
        <f t="shared" si="29"/>
        <v>11.177666531570136</v>
      </c>
      <c r="H62" s="19">
        <f t="shared" si="29"/>
        <v>25.636875938513093</v>
      </c>
      <c r="I62" s="19">
        <f t="shared" si="29"/>
        <v>42.481030689068263</v>
      </c>
      <c r="J62" s="19">
        <f t="shared" si="29"/>
        <v>60.699563289450531</v>
      </c>
      <c r="K62" s="19">
        <f t="shared" si="29"/>
        <v>79.324309123037338</v>
      </c>
      <c r="L62" s="19">
        <f t="shared" si="29"/>
        <v>97.541729973323243</v>
      </c>
      <c r="M62" s="19">
        <f t="shared" si="29"/>
        <v>109.28289339032756</v>
      </c>
      <c r="N62" s="19">
        <f t="shared" si="29"/>
        <v>108.7753873332727</v>
      </c>
      <c r="O62" s="19">
        <f t="shared" si="29"/>
        <v>107.60698692975501</v>
      </c>
      <c r="P62" s="19">
        <f t="shared" si="29"/>
        <v>106.05551961451869</v>
      </c>
      <c r="Q62" s="19">
        <f t="shared" si="29"/>
        <v>104.29168746051751</v>
      </c>
      <c r="R62" s="19">
        <f t="shared" si="29"/>
        <v>102.41831091281921</v>
      </c>
    </row>
    <row r="63" spans="1:18" x14ac:dyDescent="0.3">
      <c r="A63" t="s">
        <v>86</v>
      </c>
      <c r="C63" s="19">
        <f>C47</f>
        <v>1.3499999999999999</v>
      </c>
      <c r="D63" s="19">
        <f t="shared" ref="D63:R63" si="30">D47</f>
        <v>2.7269999999999999</v>
      </c>
      <c r="E63" s="19">
        <f t="shared" si="30"/>
        <v>4.131405</v>
      </c>
      <c r="F63" s="19">
        <f t="shared" si="30"/>
        <v>5.5636253999999994</v>
      </c>
      <c r="G63" s="19">
        <f t="shared" si="30"/>
        <v>7.0240770674999995</v>
      </c>
      <c r="H63" s="19">
        <f t="shared" si="30"/>
        <v>8.5131814058100002</v>
      </c>
      <c r="I63" s="19">
        <f t="shared" si="30"/>
        <v>10.031365423179452</v>
      </c>
      <c r="J63" s="19">
        <f t="shared" si="30"/>
        <v>11.579061802755705</v>
      </c>
      <c r="K63" s="19">
        <f t="shared" si="30"/>
        <v>13.156708973381175</v>
      </c>
      <c r="L63" s="19">
        <f t="shared" si="30"/>
        <v>14.764751181238877</v>
      </c>
      <c r="M63" s="19">
        <f t="shared" si="30"/>
        <v>16.403638562356395</v>
      </c>
      <c r="N63" s="19">
        <f t="shared" si="30"/>
        <v>18.073827215978131</v>
      </c>
      <c r="O63" s="19">
        <f t="shared" si="30"/>
        <v>19.775779278816078</v>
      </c>
      <c r="P63" s="19">
        <f t="shared" si="30"/>
        <v>21.509963000189181</v>
      </c>
      <c r="Q63" s="19">
        <f t="shared" si="30"/>
        <v>23.276852818061865</v>
      </c>
      <c r="R63" s="19">
        <f t="shared" si="30"/>
        <v>25.076929435991978</v>
      </c>
    </row>
    <row r="64" spans="1:18" x14ac:dyDescent="0.3">
      <c r="A64" s="21" t="s">
        <v>87</v>
      </c>
      <c r="B64" s="22"/>
      <c r="C64" s="23">
        <f>C60+C61+C62+C63</f>
        <v>42.930000000000007</v>
      </c>
      <c r="D64" s="23">
        <f t="shared" ref="D64:R64" si="31">D60+D61+D62+D63</f>
        <v>39.791609999999999</v>
      </c>
      <c r="E64" s="23">
        <f t="shared" si="31"/>
        <v>36.569249010000007</v>
      </c>
      <c r="F64" s="23">
        <f t="shared" si="31"/>
        <v>33.506277464250005</v>
      </c>
      <c r="G64" s="23">
        <f t="shared" si="31"/>
        <v>61.607319087362754</v>
      </c>
      <c r="H64" s="23">
        <f t="shared" si="31"/>
        <v>84.970279394950126</v>
      </c>
      <c r="I64" s="23">
        <f t="shared" si="31"/>
        <v>104.4849615739204</v>
      </c>
      <c r="J64" s="23">
        <f t="shared" si="31"/>
        <v>121.34154091723393</v>
      </c>
      <c r="K64" s="23">
        <f t="shared" si="31"/>
        <v>136.7104898021785</v>
      </c>
      <c r="L64" s="23">
        <f t="shared" si="31"/>
        <v>151.50709791197391</v>
      </c>
      <c r="M64" s="23">
        <f t="shared" si="31"/>
        <v>160.81263362762905</v>
      </c>
      <c r="N64" s="23">
        <f t="shared" si="31"/>
        <v>159.89003550011955</v>
      </c>
      <c r="O64" s="23">
        <f t="shared" si="31"/>
        <v>159.7425694399563</v>
      </c>
      <c r="P64" s="23">
        <f t="shared" si="31"/>
        <v>160.28502261104299</v>
      </c>
      <c r="Q64" s="23">
        <f t="shared" si="31"/>
        <v>161.36838212402475</v>
      </c>
      <c r="R64" s="23">
        <f t="shared" si="31"/>
        <v>162.84244037017316</v>
      </c>
    </row>
    <row r="65" spans="1:18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1:18" ht="15" thickBot="1" x14ac:dyDescent="0.35">
      <c r="A66" s="24" t="s">
        <v>88</v>
      </c>
      <c r="B66" s="25"/>
      <c r="C66" s="26">
        <f>C53+C58+C64</f>
        <v>4210.1775000000007</v>
      </c>
      <c r="D66" s="26">
        <f t="shared" ref="D66:R66" si="32">D53+D58+D64</f>
        <v>3736.1398050000007</v>
      </c>
      <c r="E66" s="26">
        <f t="shared" si="32"/>
        <v>3260.7096992100005</v>
      </c>
      <c r="F66" s="26">
        <f t="shared" si="32"/>
        <v>2805.135011688601</v>
      </c>
      <c r="G66" s="26">
        <f t="shared" si="32"/>
        <v>2386.3211784419759</v>
      </c>
      <c r="H66" s="26">
        <f t="shared" si="32"/>
        <v>1993.5142105095865</v>
      </c>
      <c r="I66" s="26">
        <f t="shared" si="32"/>
        <v>1647.1397629776379</v>
      </c>
      <c r="J66" s="26">
        <f t="shared" si="32"/>
        <v>1358.5238230180198</v>
      </c>
      <c r="K66" s="26">
        <f t="shared" si="32"/>
        <v>1130.309225738373</v>
      </c>
      <c r="L66" s="26">
        <f t="shared" si="32"/>
        <v>958.2243000058254</v>
      </c>
      <c r="M66" s="26">
        <f t="shared" si="32"/>
        <v>833.56922916638791</v>
      </c>
      <c r="N66" s="26">
        <f t="shared" si="32"/>
        <v>752.0523716862383</v>
      </c>
      <c r="O66" s="26">
        <f t="shared" si="32"/>
        <v>698.61115564749593</v>
      </c>
      <c r="P66" s="26">
        <f t="shared" si="32"/>
        <v>662.59490928063133</v>
      </c>
      <c r="Q66" s="26">
        <f t="shared" si="32"/>
        <v>637.21477213307196</v>
      </c>
      <c r="R66" s="26">
        <f t="shared" si="32"/>
        <v>618.23646928519065</v>
      </c>
    </row>
    <row r="67" spans="1:18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8FFD-280F-464B-85C9-41770F751C60}">
  <sheetPr>
    <tabColor rgb="FF008000"/>
  </sheetPr>
  <dimension ref="A1:R67"/>
  <sheetViews>
    <sheetView tabSelected="1" topLeftCell="C4" workbookViewId="0"/>
  </sheetViews>
  <sheetFormatPr defaultRowHeight="14.4" x14ac:dyDescent="0.3"/>
  <cols>
    <col min="1" max="1" width="37" customWidth="1"/>
    <col min="2" max="2" width="3.6640625" customWidth="1"/>
    <col min="3" max="18" width="15.6640625" customWidth="1"/>
  </cols>
  <sheetData>
    <row r="1" spans="1:18" ht="18" x14ac:dyDescent="0.35">
      <c r="A1" s="17" t="s">
        <v>89</v>
      </c>
    </row>
    <row r="3" spans="1:18" x14ac:dyDescent="0.3">
      <c r="A3" s="2" t="s">
        <v>44</v>
      </c>
      <c r="C3" s="18">
        <v>2010</v>
      </c>
      <c r="D3" s="18">
        <v>2011</v>
      </c>
      <c r="E3" s="18">
        <v>2012</v>
      </c>
      <c r="F3" s="18">
        <v>2013</v>
      </c>
      <c r="G3" s="18">
        <v>2014</v>
      </c>
      <c r="H3" s="18">
        <v>2015</v>
      </c>
      <c r="I3" s="18">
        <v>2016</v>
      </c>
      <c r="J3" s="18">
        <v>2017</v>
      </c>
      <c r="K3" s="18">
        <v>2018</v>
      </c>
      <c r="L3" s="18">
        <v>2019</v>
      </c>
      <c r="M3" s="18">
        <v>2020</v>
      </c>
      <c r="N3" s="18">
        <v>2021</v>
      </c>
      <c r="O3" s="18">
        <v>2022</v>
      </c>
      <c r="P3" s="18">
        <v>2023</v>
      </c>
      <c r="Q3" s="18">
        <v>2024</v>
      </c>
      <c r="R3" s="18">
        <v>2025</v>
      </c>
    </row>
    <row r="5" spans="1:18" x14ac:dyDescent="0.3">
      <c r="A5" s="3" t="s">
        <v>70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t="s">
        <v>6</v>
      </c>
      <c r="C6" s="9">
        <f>'Demand - Developed'!C6</f>
        <v>0.5</v>
      </c>
      <c r="D6" s="9">
        <f>'Demand - Developed'!D6</f>
        <v>0.5</v>
      </c>
      <c r="E6" s="9">
        <f>'Demand - Developed'!E6</f>
        <v>0.5</v>
      </c>
      <c r="F6" s="9">
        <f>'Demand - Developed'!F6</f>
        <v>0.5</v>
      </c>
      <c r="G6" s="9">
        <f>'Demand - Developed'!G6</f>
        <v>0.5</v>
      </c>
      <c r="H6" s="9">
        <f>'Demand - Developed'!H6</f>
        <v>0.5</v>
      </c>
      <c r="I6" s="9">
        <f>'Demand - Developed'!I6</f>
        <v>0.5</v>
      </c>
      <c r="J6" s="9">
        <f>'Demand - Developed'!J6</f>
        <v>0.5</v>
      </c>
      <c r="K6" s="9">
        <f>'Demand - Developed'!K6</f>
        <v>0.5</v>
      </c>
      <c r="L6" s="9">
        <f>'Demand - Developed'!L6</f>
        <v>0.5</v>
      </c>
      <c r="M6" s="9">
        <f>'Demand - Developed'!M6</f>
        <v>0.5</v>
      </c>
      <c r="N6" s="9">
        <f>'Demand - Developed'!N6</f>
        <v>0.5</v>
      </c>
      <c r="O6" s="9">
        <f>'Demand - Developed'!O6</f>
        <v>0.5</v>
      </c>
      <c r="P6" s="9">
        <f>'Demand - Developed'!P6</f>
        <v>0.5</v>
      </c>
      <c r="Q6" s="9">
        <f>'Demand - Developed'!Q6</f>
        <v>0.5</v>
      </c>
      <c r="R6" s="9">
        <f>'Demand - Developed'!R6</f>
        <v>0.5</v>
      </c>
    </row>
    <row r="7" spans="1:18" x14ac:dyDescent="0.3">
      <c r="A7" t="s">
        <v>7</v>
      </c>
      <c r="C7" s="9">
        <f>'Demand - Developed'!C7</f>
        <v>3</v>
      </c>
      <c r="D7" s="9">
        <f>'Demand - Developed'!D7</f>
        <v>2.88</v>
      </c>
      <c r="E7" s="9">
        <f>'Demand - Developed'!E7</f>
        <v>2.7647999999999997</v>
      </c>
      <c r="F7" s="9">
        <f>'Demand - Developed'!F7</f>
        <v>2.6542079999999997</v>
      </c>
      <c r="G7" s="9">
        <f>'Demand - Developed'!G7</f>
        <v>2.5480396799999996</v>
      </c>
      <c r="H7" s="9">
        <f>'Demand - Developed'!H7</f>
        <v>2.4461180927999995</v>
      </c>
      <c r="I7" s="9">
        <f>'Demand - Developed'!I7</f>
        <v>2.3482733690879996</v>
      </c>
      <c r="J7" s="9">
        <f>'Demand - Developed'!J7</f>
        <v>2.2543424343244793</v>
      </c>
      <c r="K7" s="9">
        <f>'Demand - Developed'!K7</f>
        <v>2.1641687369514999</v>
      </c>
      <c r="L7" s="9">
        <f>'Demand - Developed'!L7</f>
        <v>2.0776019874734399</v>
      </c>
      <c r="M7" s="9">
        <f>'Demand - Developed'!M7</f>
        <v>1.9944979079745022</v>
      </c>
      <c r="N7" s="9">
        <f>'Demand - Developed'!N7</f>
        <v>1.9147179916555221</v>
      </c>
      <c r="O7" s="9">
        <f>'Demand - Developed'!O7</f>
        <v>1.8381292719893012</v>
      </c>
      <c r="P7" s="9">
        <f>'Demand - Developed'!P7</f>
        <v>1.7646041011097291</v>
      </c>
      <c r="Q7" s="9">
        <f>'Demand - Developed'!Q7</f>
        <v>1.6940199370653399</v>
      </c>
      <c r="R7" s="9">
        <f>'Demand - Developed'!R7</f>
        <v>1.6262591395827262</v>
      </c>
    </row>
    <row r="8" spans="1:18" x14ac:dyDescent="0.3">
      <c r="A8" t="s">
        <v>8</v>
      </c>
      <c r="C8" s="9">
        <f>'Demand - Developed'!C8</f>
        <v>40</v>
      </c>
      <c r="D8" s="9">
        <f>'Demand - Developed'!D8</f>
        <v>36</v>
      </c>
      <c r="E8" s="9">
        <f>'Demand - Developed'!E8</f>
        <v>32.4</v>
      </c>
      <c r="F8" s="9">
        <f>'Demand - Developed'!F8</f>
        <v>29.16</v>
      </c>
      <c r="G8" s="9">
        <f>'Demand - Developed'!G8</f>
        <v>26.244</v>
      </c>
      <c r="H8" s="9">
        <f>'Demand - Developed'!H8</f>
        <v>23.619600000000002</v>
      </c>
      <c r="I8" s="9">
        <f>'Demand - Developed'!I8</f>
        <v>21.257640000000002</v>
      </c>
      <c r="J8" s="9">
        <f>'Demand - Developed'!J8</f>
        <v>19.131876000000002</v>
      </c>
      <c r="K8" s="9">
        <f>'Demand - Developed'!K8</f>
        <v>17.218688400000001</v>
      </c>
      <c r="L8" s="9">
        <f>'Demand - Developed'!L8</f>
        <v>15.496819560000002</v>
      </c>
      <c r="M8" s="9">
        <f>'Demand - Developed'!M8</f>
        <v>13.947137604000002</v>
      </c>
      <c r="N8" s="9">
        <f>'Demand - Developed'!N8</f>
        <v>12.552423843600002</v>
      </c>
      <c r="O8" s="9">
        <f>'Demand - Developed'!O8</f>
        <v>11.297181459240001</v>
      </c>
      <c r="P8" s="9">
        <f>'Demand - Developed'!P8</f>
        <v>10.167463313316</v>
      </c>
      <c r="Q8" s="9">
        <f>'Demand - Developed'!Q8</f>
        <v>9.1507169819844005</v>
      </c>
      <c r="R8" s="9">
        <f>'Demand - Developed'!R8</f>
        <v>8.2356452837859599</v>
      </c>
    </row>
    <row r="10" spans="1:18" x14ac:dyDescent="0.3">
      <c r="A10" s="3" t="s">
        <v>90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t="s">
        <v>91</v>
      </c>
      <c r="C11" s="10">
        <f>Assumptions!H34</f>
        <v>0.96</v>
      </c>
      <c r="D11" s="10">
        <f>MAX(1-D12-D13,0)</f>
        <v>0.94699999999999995</v>
      </c>
      <c r="E11" s="10">
        <f t="shared" ref="E11:R11" si="0">MAX(1-E12-E13,0)</f>
        <v>0.93699999999999994</v>
      </c>
      <c r="F11" s="10">
        <f t="shared" si="0"/>
        <v>0.92699999999999994</v>
      </c>
      <c r="G11" s="10">
        <f t="shared" si="0"/>
        <v>0.91200000000000003</v>
      </c>
      <c r="H11" s="10">
        <f t="shared" si="0"/>
        <v>0.89700000000000002</v>
      </c>
      <c r="I11" s="10">
        <f t="shared" si="0"/>
        <v>0.88200000000000001</v>
      </c>
      <c r="J11" s="10">
        <f t="shared" si="0"/>
        <v>0.86699999999999999</v>
      </c>
      <c r="K11" s="10">
        <f t="shared" si="0"/>
        <v>0.85199999999999998</v>
      </c>
      <c r="L11" s="10">
        <f t="shared" si="0"/>
        <v>0.83699999999999997</v>
      </c>
      <c r="M11" s="10">
        <f t="shared" si="0"/>
        <v>0.82199999999999995</v>
      </c>
      <c r="N11" s="10">
        <f t="shared" si="0"/>
        <v>0.80699999999999994</v>
      </c>
      <c r="O11" s="10">
        <f t="shared" si="0"/>
        <v>0.79199999999999993</v>
      </c>
      <c r="P11" s="10">
        <f t="shared" si="0"/>
        <v>0.77699999999999991</v>
      </c>
      <c r="Q11" s="10">
        <f t="shared" si="0"/>
        <v>0.76200000000000001</v>
      </c>
      <c r="R11" s="10">
        <f t="shared" si="0"/>
        <v>0.747</v>
      </c>
    </row>
    <row r="12" spans="1:18" x14ac:dyDescent="0.3">
      <c r="A12" t="s">
        <v>92</v>
      </c>
      <c r="C12" s="10">
        <f>Assumptions!H35</f>
        <v>0.04</v>
      </c>
      <c r="D12" s="10">
        <f>MIN(C12+Assumptions!$H$48,0.25)</f>
        <v>0.05</v>
      </c>
      <c r="E12" s="10">
        <f>MIN(D12+Assumptions!$H$48,0.25)</f>
        <v>6.0000000000000005E-2</v>
      </c>
      <c r="F12" s="10">
        <f>MIN(E12+Assumptions!$H$48,0.25)</f>
        <v>7.0000000000000007E-2</v>
      </c>
      <c r="G12" s="10">
        <f>MIN(F12+Assumptions!$H$48,0.25)</f>
        <v>0.08</v>
      </c>
      <c r="H12" s="10">
        <f>MIN(G12+Assumptions!$H$48,0.25)</f>
        <v>0.09</v>
      </c>
      <c r="I12" s="10">
        <f>MIN(H12+Assumptions!$H$48,0.25)</f>
        <v>9.9999999999999992E-2</v>
      </c>
      <c r="J12" s="10">
        <f>MIN(I12+Assumptions!$H$48,0.25)</f>
        <v>0.10999999999999999</v>
      </c>
      <c r="K12" s="10">
        <f>MIN(J12+Assumptions!$H$48,0.25)</f>
        <v>0.11999999999999998</v>
      </c>
      <c r="L12" s="10">
        <f>MIN(K12+Assumptions!$H$48,0.25)</f>
        <v>0.12999999999999998</v>
      </c>
      <c r="M12" s="10">
        <f>MIN(L12+Assumptions!$H$48,0.25)</f>
        <v>0.13999999999999999</v>
      </c>
      <c r="N12" s="10">
        <f>MIN(M12+Assumptions!$H$48,0.25)</f>
        <v>0.15</v>
      </c>
      <c r="O12" s="10">
        <f>MIN(N12+Assumptions!$H$48,0.25)</f>
        <v>0.16</v>
      </c>
      <c r="P12" s="10">
        <f>MIN(O12+Assumptions!$H$48,0.25)</f>
        <v>0.17</v>
      </c>
      <c r="Q12" s="10">
        <f>MIN(P12+Assumptions!$H$48,0.25)</f>
        <v>0.18000000000000002</v>
      </c>
      <c r="R12" s="10">
        <f>MIN(Q12+Assumptions!$H$48,0.25)</f>
        <v>0.19000000000000003</v>
      </c>
    </row>
    <row r="13" spans="1:18" x14ac:dyDescent="0.3">
      <c r="A13" t="s">
        <v>93</v>
      </c>
      <c r="C13" s="10">
        <f>Assumptions!H36</f>
        <v>3.0000000000000001E-3</v>
      </c>
      <c r="D13" s="10">
        <f>IF(D$3&gt;=Assumptions!$C$20,C13+Assumptions!$H$49,C13)</f>
        <v>3.0000000000000001E-3</v>
      </c>
      <c r="E13" s="10">
        <f>IF(E$3&gt;=Assumptions!$C$20,D13+Assumptions!$H$49,D13)</f>
        <v>3.0000000000000001E-3</v>
      </c>
      <c r="F13" s="10">
        <f>IF(F$3&gt;=Assumptions!$C$20,E13+Assumptions!$H$49,E13)</f>
        <v>3.0000000000000001E-3</v>
      </c>
      <c r="G13" s="10">
        <f>IF(G$3&gt;=Assumptions!$C$20,F13+Assumptions!$H$49,F13)</f>
        <v>8.0000000000000002E-3</v>
      </c>
      <c r="H13" s="10">
        <f>IF(H$3&gt;=Assumptions!$C$20,G13+Assumptions!$H$49,G13)</f>
        <v>1.3000000000000001E-2</v>
      </c>
      <c r="I13" s="10">
        <f>IF(I$3&gt;=Assumptions!$C$20,H13+Assumptions!$H$49,H13)</f>
        <v>1.8000000000000002E-2</v>
      </c>
      <c r="J13" s="10">
        <f>IF(J$3&gt;=Assumptions!$C$20,I13+Assumptions!$H$49,I13)</f>
        <v>2.3000000000000003E-2</v>
      </c>
      <c r="K13" s="10">
        <f>IF(K$3&gt;=Assumptions!$C$20,J13+Assumptions!$H$49,J13)</f>
        <v>2.8000000000000004E-2</v>
      </c>
      <c r="L13" s="10">
        <f>IF(L$3&gt;=Assumptions!$C$20,K13+Assumptions!$H$49,K13)</f>
        <v>3.3000000000000002E-2</v>
      </c>
      <c r="M13" s="10">
        <f>IF(M$3&gt;=Assumptions!$C$20,L13+Assumptions!$H$49,L13)</f>
        <v>3.7999999999999999E-2</v>
      </c>
      <c r="N13" s="10">
        <f>IF(N$3&gt;=Assumptions!$C$20,M13+Assumptions!$H$49,M13)</f>
        <v>4.2999999999999997E-2</v>
      </c>
      <c r="O13" s="10">
        <f>IF(O$3&gt;=Assumptions!$C$20,N13+Assumptions!$H$49,N13)</f>
        <v>4.7999999999999994E-2</v>
      </c>
      <c r="P13" s="10">
        <f>IF(P$3&gt;=Assumptions!$C$20,O13+Assumptions!$H$49,O13)</f>
        <v>5.2999999999999992E-2</v>
      </c>
      <c r="Q13" s="10">
        <f>IF(Q$3&gt;=Assumptions!$C$20,P13+Assumptions!$H$49,P13)</f>
        <v>5.7999999999999989E-2</v>
      </c>
      <c r="R13" s="10">
        <f>IF(R$3&gt;=Assumptions!$C$20,Q13+Assumptions!$H$49,Q13)</f>
        <v>6.2999999999999987E-2</v>
      </c>
    </row>
    <row r="14" spans="1:18" x14ac:dyDescent="0.3">
      <c r="A14" t="s">
        <v>94</v>
      </c>
      <c r="C14" s="10">
        <f>Assumptions!H38</f>
        <v>1</v>
      </c>
      <c r="D14" s="10">
        <f>MAX(1-D15,0)</f>
        <v>1</v>
      </c>
      <c r="E14" s="10">
        <f t="shared" ref="E14:R14" si="1">MAX(1-E15,0)</f>
        <v>1</v>
      </c>
      <c r="F14" s="10">
        <f t="shared" si="1"/>
        <v>1</v>
      </c>
      <c r="G14" s="10">
        <f t="shared" si="1"/>
        <v>0.98499999999999999</v>
      </c>
      <c r="H14" s="10">
        <f t="shared" si="1"/>
        <v>0.97</v>
      </c>
      <c r="I14" s="10">
        <f t="shared" si="1"/>
        <v>0.95499999999999996</v>
      </c>
      <c r="J14" s="10">
        <f t="shared" si="1"/>
        <v>0.94</v>
      </c>
      <c r="K14" s="10">
        <f t="shared" si="1"/>
        <v>0.92500000000000004</v>
      </c>
      <c r="L14" s="10">
        <f t="shared" si="1"/>
        <v>0.91</v>
      </c>
      <c r="M14" s="10">
        <f t="shared" si="1"/>
        <v>0.89500000000000002</v>
      </c>
      <c r="N14" s="10">
        <f t="shared" si="1"/>
        <v>0.88</v>
      </c>
      <c r="O14" s="10">
        <f t="shared" si="1"/>
        <v>0.86499999999999999</v>
      </c>
      <c r="P14" s="10">
        <f t="shared" si="1"/>
        <v>0.85</v>
      </c>
      <c r="Q14" s="10">
        <f t="shared" si="1"/>
        <v>0.85</v>
      </c>
      <c r="R14" s="10">
        <f t="shared" si="1"/>
        <v>0.85</v>
      </c>
    </row>
    <row r="15" spans="1:18" x14ac:dyDescent="0.3">
      <c r="A15" t="s">
        <v>95</v>
      </c>
      <c r="C15" s="10">
        <f>Assumptions!H39</f>
        <v>0</v>
      </c>
      <c r="D15" s="10">
        <f>IF(D$3&gt;=Assumptions!$C$20,MIN(C15+Assumptions!$H$50,0.15),C15)</f>
        <v>0</v>
      </c>
      <c r="E15" s="10">
        <f>IF(E$3&gt;=Assumptions!$C$20,MIN(D15+Assumptions!$H$50,0.15),D15)</f>
        <v>0</v>
      </c>
      <c r="F15" s="10">
        <f>IF(F$3&gt;=Assumptions!$C$20,MIN(E15+Assumptions!$H$50,0.15),E15)</f>
        <v>0</v>
      </c>
      <c r="G15" s="10">
        <f>IF(G$3&gt;=Assumptions!$C$20,MIN(F15+Assumptions!$H$50,0.15),F15)</f>
        <v>1.4999999999999999E-2</v>
      </c>
      <c r="H15" s="10">
        <f>IF(H$3&gt;=Assumptions!$C$20,MIN(G15+Assumptions!$H$50,0.15),G15)</f>
        <v>0.03</v>
      </c>
      <c r="I15" s="10">
        <f>IF(I$3&gt;=Assumptions!$C$20,MIN(H15+Assumptions!$H$50,0.15),H15)</f>
        <v>4.4999999999999998E-2</v>
      </c>
      <c r="J15" s="10">
        <f>IF(J$3&gt;=Assumptions!$C$20,MIN(I15+Assumptions!$H$50,0.15),I15)</f>
        <v>0.06</v>
      </c>
      <c r="K15" s="10">
        <f>IF(K$3&gt;=Assumptions!$C$20,MIN(J15+Assumptions!$H$50,0.15),J15)</f>
        <v>7.4999999999999997E-2</v>
      </c>
      <c r="L15" s="10">
        <f>IF(L$3&gt;=Assumptions!$C$20,MIN(K15+Assumptions!$H$50,0.15),K15)</f>
        <v>0.09</v>
      </c>
      <c r="M15" s="10">
        <f>IF(M$3&gt;=Assumptions!$C$20,MIN(L15+Assumptions!$H$50,0.15),L15)</f>
        <v>0.105</v>
      </c>
      <c r="N15" s="10">
        <f>IF(N$3&gt;=Assumptions!$C$20,MIN(M15+Assumptions!$H$50,0.15),M15)</f>
        <v>0.12</v>
      </c>
      <c r="O15" s="10">
        <f>IF(O$3&gt;=Assumptions!$C$20,MIN(N15+Assumptions!$H$50,0.15),N15)</f>
        <v>0.13500000000000001</v>
      </c>
      <c r="P15" s="10">
        <f>IF(P$3&gt;=Assumptions!$C$20,MIN(O15+Assumptions!$H$50,0.15),O15)</f>
        <v>0.15</v>
      </c>
      <c r="Q15" s="10">
        <f>IF(Q$3&gt;=Assumptions!$C$20,MIN(P15+Assumptions!$H$50,0.15),P15)</f>
        <v>0.15</v>
      </c>
      <c r="R15" s="10">
        <f>IF(R$3&gt;=Assumptions!$C$20,MIN(Q15+Assumptions!$H$50,0.15),Q15)</f>
        <v>0.15</v>
      </c>
    </row>
    <row r="17" spans="1:18" x14ac:dyDescent="0.3">
      <c r="A17" s="3" t="s">
        <v>96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t="s">
        <v>97</v>
      </c>
      <c r="C18" s="10">
        <f>Assumptions!H42</f>
        <v>0.92</v>
      </c>
      <c r="D18" s="10">
        <f>MAX(1-D19-D20,0)</f>
        <v>0.87880000000000003</v>
      </c>
      <c r="E18" s="10">
        <f t="shared" ref="E18:R18" si="2">MAX(1-E19-E20,0)</f>
        <v>0.83879999999999999</v>
      </c>
      <c r="F18" s="10">
        <f t="shared" si="2"/>
        <v>0.79879999999999995</v>
      </c>
      <c r="G18" s="10">
        <f t="shared" si="2"/>
        <v>0.75879999999999992</v>
      </c>
      <c r="H18" s="10">
        <f t="shared" si="2"/>
        <v>0.71880000000000011</v>
      </c>
      <c r="I18" s="10">
        <f t="shared" si="2"/>
        <v>0.67880000000000007</v>
      </c>
      <c r="J18" s="10">
        <f t="shared" si="2"/>
        <v>0.63880000000000003</v>
      </c>
      <c r="K18" s="10">
        <f t="shared" si="2"/>
        <v>0.5988</v>
      </c>
      <c r="L18" s="10">
        <f t="shared" si="2"/>
        <v>0.55879999999999996</v>
      </c>
      <c r="M18" s="10">
        <f t="shared" si="2"/>
        <v>0.51879999999999993</v>
      </c>
      <c r="N18" s="10">
        <f t="shared" si="2"/>
        <v>0.4788</v>
      </c>
      <c r="O18" s="10">
        <f t="shared" si="2"/>
        <v>0.43879999999999997</v>
      </c>
      <c r="P18" s="10">
        <f t="shared" si="2"/>
        <v>0.39879999999999993</v>
      </c>
      <c r="Q18" s="10">
        <f t="shared" si="2"/>
        <v>0.3587999999999999</v>
      </c>
      <c r="R18" s="10">
        <f t="shared" si="2"/>
        <v>0.31879999999999986</v>
      </c>
    </row>
    <row r="19" spans="1:18" x14ac:dyDescent="0.3">
      <c r="A19" t="s">
        <v>98</v>
      </c>
      <c r="C19" s="10">
        <f>Assumptions!H43</f>
        <v>0.08</v>
      </c>
      <c r="D19" s="10">
        <f>MIN(C19+0.02,0.4)</f>
        <v>0.1</v>
      </c>
      <c r="E19" s="10">
        <f t="shared" ref="E19:R19" si="3">MIN(D19+0.02,0.4)</f>
        <v>0.12000000000000001</v>
      </c>
      <c r="F19" s="10">
        <f t="shared" si="3"/>
        <v>0.14000000000000001</v>
      </c>
      <c r="G19" s="10">
        <f t="shared" si="3"/>
        <v>0.16</v>
      </c>
      <c r="H19" s="10">
        <f t="shared" si="3"/>
        <v>0.18</v>
      </c>
      <c r="I19" s="10">
        <f t="shared" si="3"/>
        <v>0.19999999999999998</v>
      </c>
      <c r="J19" s="10">
        <f t="shared" si="3"/>
        <v>0.21999999999999997</v>
      </c>
      <c r="K19" s="10">
        <f t="shared" si="3"/>
        <v>0.23999999999999996</v>
      </c>
      <c r="L19" s="10">
        <f t="shared" si="3"/>
        <v>0.25999999999999995</v>
      </c>
      <c r="M19" s="10">
        <f t="shared" si="3"/>
        <v>0.27999999999999997</v>
      </c>
      <c r="N19" s="10">
        <f t="shared" si="3"/>
        <v>0.3</v>
      </c>
      <c r="O19" s="10">
        <f t="shared" si="3"/>
        <v>0.32</v>
      </c>
      <c r="P19" s="10">
        <f t="shared" si="3"/>
        <v>0.34</v>
      </c>
      <c r="Q19" s="10">
        <f t="shared" si="3"/>
        <v>0.36000000000000004</v>
      </c>
      <c r="R19" s="10">
        <f t="shared" si="3"/>
        <v>0.38000000000000006</v>
      </c>
    </row>
    <row r="20" spans="1:18" x14ac:dyDescent="0.3">
      <c r="A20" t="s">
        <v>99</v>
      </c>
      <c r="C20" s="10">
        <f>Assumptions!H44</f>
        <v>1.1999999999999999E-3</v>
      </c>
      <c r="D20" s="10">
        <f>MIN(C20+0.02,0.4)</f>
        <v>2.12E-2</v>
      </c>
      <c r="E20" s="10">
        <f t="shared" ref="E20:R20" si="4">MIN(D20+0.02,0.4)</f>
        <v>4.1200000000000001E-2</v>
      </c>
      <c r="F20" s="10">
        <f t="shared" si="4"/>
        <v>6.1200000000000004E-2</v>
      </c>
      <c r="G20" s="10">
        <f t="shared" si="4"/>
        <v>8.1200000000000008E-2</v>
      </c>
      <c r="H20" s="10">
        <f t="shared" si="4"/>
        <v>0.10120000000000001</v>
      </c>
      <c r="I20" s="10">
        <f t="shared" si="4"/>
        <v>0.12120000000000002</v>
      </c>
      <c r="J20" s="10">
        <f t="shared" si="4"/>
        <v>0.14120000000000002</v>
      </c>
      <c r="K20" s="10">
        <f t="shared" si="4"/>
        <v>0.16120000000000001</v>
      </c>
      <c r="L20" s="10">
        <f t="shared" si="4"/>
        <v>0.1812</v>
      </c>
      <c r="M20" s="10">
        <f t="shared" si="4"/>
        <v>0.20119999999999999</v>
      </c>
      <c r="N20" s="10">
        <f t="shared" si="4"/>
        <v>0.22119999999999998</v>
      </c>
      <c r="O20" s="10">
        <f t="shared" si="4"/>
        <v>0.24119999999999997</v>
      </c>
      <c r="P20" s="10">
        <f t="shared" si="4"/>
        <v>0.26119999999999999</v>
      </c>
      <c r="Q20" s="10">
        <f t="shared" si="4"/>
        <v>0.28120000000000001</v>
      </c>
      <c r="R20" s="10">
        <f t="shared" si="4"/>
        <v>0.30120000000000002</v>
      </c>
    </row>
    <row r="22" spans="1:18" x14ac:dyDescent="0.3">
      <c r="A22" s="3" t="s">
        <v>100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">
      <c r="A23" s="2" t="s">
        <v>101</v>
      </c>
    </row>
    <row r="24" spans="1:18" x14ac:dyDescent="0.3">
      <c r="A24" t="s">
        <v>102</v>
      </c>
      <c r="C24" s="19">
        <f>Assumptions!C17*Assumptions!G4</f>
        <v>4920</v>
      </c>
      <c r="D24" s="19">
        <f>C30</f>
        <v>4924.32</v>
      </c>
      <c r="E24" s="19">
        <f t="shared" ref="E24:R24" si="5">D30</f>
        <v>4856.5806239999993</v>
      </c>
      <c r="F24" s="19">
        <f t="shared" si="5"/>
        <v>4737.7586459567992</v>
      </c>
      <c r="G24" s="19">
        <f t="shared" si="5"/>
        <v>4572.9665538544687</v>
      </c>
      <c r="H24" s="19">
        <f t="shared" si="5"/>
        <v>4343.3486735200768</v>
      </c>
      <c r="I24" s="19">
        <f t="shared" si="5"/>
        <v>4061.1344943090812</v>
      </c>
      <c r="J24" s="19">
        <f t="shared" si="5"/>
        <v>3740.1348888889825</v>
      </c>
      <c r="K24" s="19">
        <f t="shared" si="5"/>
        <v>3394.7012875827295</v>
      </c>
      <c r="L24" s="19">
        <f t="shared" si="5"/>
        <v>3038.7237133361036</v>
      </c>
      <c r="M24" s="19">
        <f t="shared" si="5"/>
        <v>2684.7637453224102</v>
      </c>
      <c r="N24" s="19">
        <f t="shared" si="5"/>
        <v>2343.3951803920349</v>
      </c>
      <c r="O24" s="19">
        <f t="shared" si="5"/>
        <v>2022.7941281140841</v>
      </c>
      <c r="P24" s="19">
        <f t="shared" si="5"/>
        <v>1728.5867366033813</v>
      </c>
      <c r="Q24" s="19">
        <f t="shared" si="5"/>
        <v>1463.9319256462636</v>
      </c>
      <c r="R24" s="19">
        <f t="shared" si="5"/>
        <v>1229.7926697680443</v>
      </c>
    </row>
    <row r="25" spans="1:18" x14ac:dyDescent="0.3">
      <c r="A25" t="s">
        <v>103</v>
      </c>
      <c r="C25" s="19">
        <f>C24*(Assumptions!$C$15/Assumptions!$F$4)</f>
        <v>5412</v>
      </c>
      <c r="D25" s="19">
        <f>D24*(Assumptions!$C$15/Assumptions!$F$4)</f>
        <v>5416.7520000000004</v>
      </c>
      <c r="E25" s="19">
        <f>E24*(Assumptions!$C$15/Assumptions!$F$4)</f>
        <v>5342.2386864</v>
      </c>
      <c r="F25" s="19">
        <f>F24*(Assumptions!$C$15/Assumptions!$F$4)</f>
        <v>5211.5345105524793</v>
      </c>
      <c r="G25" s="19">
        <f>G24*(Assumptions!$C$15/Assumptions!$F$4)</f>
        <v>5030.2632092399163</v>
      </c>
      <c r="H25" s="19">
        <f>H24*(Assumptions!$C$15/Assumptions!$F$4)</f>
        <v>4777.6835408720844</v>
      </c>
      <c r="I25" s="19">
        <f>I24*(Assumptions!$C$15/Assumptions!$F$4)</f>
        <v>4467.2479437399898</v>
      </c>
      <c r="J25" s="19">
        <f>J24*(Assumptions!$C$15/Assumptions!$F$4)</f>
        <v>4114.1483777778813</v>
      </c>
      <c r="K25" s="19">
        <f>K24*(Assumptions!$C$15/Assumptions!$F$4)</f>
        <v>3734.1714163410029</v>
      </c>
      <c r="L25" s="19">
        <f>L24*(Assumptions!$C$15/Assumptions!$F$4)</f>
        <v>3342.5960846697144</v>
      </c>
      <c r="M25" s="19">
        <f>M24*(Assumptions!$C$15/Assumptions!$F$4)</f>
        <v>2953.2401198546513</v>
      </c>
      <c r="N25" s="19">
        <f>N24*(Assumptions!$C$15/Assumptions!$F$4)</f>
        <v>2577.7346984312385</v>
      </c>
      <c r="O25" s="19">
        <f>O24*(Assumptions!$C$15/Assumptions!$F$4)</f>
        <v>2225.0735409254926</v>
      </c>
      <c r="P25" s="19">
        <f>P24*(Assumptions!$C$15/Assumptions!$F$4)</f>
        <v>1901.4454102637196</v>
      </c>
      <c r="Q25" s="19">
        <f>Q24*(Assumptions!$C$15/Assumptions!$F$4)</f>
        <v>1610.3251182108902</v>
      </c>
      <c r="R25" s="19">
        <f>R24*(Assumptions!$C$15/Assumptions!$F$4)</f>
        <v>1352.771936744849</v>
      </c>
    </row>
    <row r="26" spans="1:18" x14ac:dyDescent="0.3">
      <c r="A26" t="s">
        <v>104</v>
      </c>
      <c r="C26" s="19">
        <f>C25*C11</f>
        <v>5195.5199999999995</v>
      </c>
      <c r="D26" s="19">
        <f>D25*D11</f>
        <v>5129.6641440000003</v>
      </c>
      <c r="E26" s="19">
        <f t="shared" ref="E26:R26" si="6">E25*E11</f>
        <v>5005.6776491567998</v>
      </c>
      <c r="F26" s="19">
        <f t="shared" si="6"/>
        <v>4831.0924912821483</v>
      </c>
      <c r="G26" s="19">
        <f t="shared" si="6"/>
        <v>4587.6000468268039</v>
      </c>
      <c r="H26" s="19">
        <f t="shared" si="6"/>
        <v>4285.5821361622602</v>
      </c>
      <c r="I26" s="19">
        <f t="shared" si="6"/>
        <v>3940.1126863786708</v>
      </c>
      <c r="J26" s="19">
        <f t="shared" si="6"/>
        <v>3566.9666435334229</v>
      </c>
      <c r="K26" s="19">
        <f t="shared" si="6"/>
        <v>3181.5140467225342</v>
      </c>
      <c r="L26" s="19">
        <f t="shared" si="6"/>
        <v>2797.7529228685507</v>
      </c>
      <c r="M26" s="19">
        <f t="shared" si="6"/>
        <v>2427.5633785205232</v>
      </c>
      <c r="N26" s="19">
        <f t="shared" si="6"/>
        <v>2080.2319016340093</v>
      </c>
      <c r="O26" s="19">
        <f t="shared" si="6"/>
        <v>1762.2582444129901</v>
      </c>
      <c r="P26" s="19">
        <f t="shared" si="6"/>
        <v>1477.4230837749101</v>
      </c>
      <c r="Q26" s="19">
        <f t="shared" si="6"/>
        <v>1227.0677400766983</v>
      </c>
      <c r="R26" s="19">
        <f t="shared" si="6"/>
        <v>1010.5206367484021</v>
      </c>
    </row>
    <row r="27" spans="1:18" x14ac:dyDescent="0.3">
      <c r="A27" t="s">
        <v>105</v>
      </c>
      <c r="C27" s="19">
        <f>C25*C12</f>
        <v>216.48000000000002</v>
      </c>
      <c r="D27" s="19">
        <f>D25*D12</f>
        <v>270.83760000000001</v>
      </c>
      <c r="E27" s="19">
        <f t="shared" ref="E27:R27" si="7">E25*E12</f>
        <v>320.53432118400002</v>
      </c>
      <c r="F27" s="19">
        <f t="shared" si="7"/>
        <v>364.80741573867357</v>
      </c>
      <c r="G27" s="19">
        <f t="shared" si="7"/>
        <v>402.42105673919332</v>
      </c>
      <c r="H27" s="19">
        <f t="shared" si="7"/>
        <v>429.99151867848758</v>
      </c>
      <c r="I27" s="19">
        <f t="shared" si="7"/>
        <v>446.72479437399892</v>
      </c>
      <c r="J27" s="19">
        <f t="shared" si="7"/>
        <v>452.55632155556691</v>
      </c>
      <c r="K27" s="19">
        <f t="shared" si="7"/>
        <v>448.10056996092027</v>
      </c>
      <c r="L27" s="19">
        <f t="shared" si="7"/>
        <v>434.53749100706278</v>
      </c>
      <c r="M27" s="19">
        <f t="shared" si="7"/>
        <v>413.45361677965116</v>
      </c>
      <c r="N27" s="19">
        <f t="shared" si="7"/>
        <v>386.66020476468577</v>
      </c>
      <c r="O27" s="19">
        <f t="shared" si="7"/>
        <v>356.01176654807881</v>
      </c>
      <c r="P27" s="19">
        <f t="shared" si="7"/>
        <v>323.24571974483234</v>
      </c>
      <c r="Q27" s="19">
        <f t="shared" si="7"/>
        <v>289.85852127796028</v>
      </c>
      <c r="R27" s="19">
        <f t="shared" si="7"/>
        <v>257.02666798152137</v>
      </c>
    </row>
    <row r="28" spans="1:18" x14ac:dyDescent="0.3">
      <c r="A28" t="s">
        <v>106</v>
      </c>
      <c r="C28" s="19">
        <f>C25*C13</f>
        <v>16.236000000000001</v>
      </c>
      <c r="D28" s="19">
        <f>D25*D13</f>
        <v>16.250256</v>
      </c>
      <c r="E28" s="19">
        <f t="shared" ref="E28:R28" si="8">E25*E13</f>
        <v>16.026716059200002</v>
      </c>
      <c r="F28" s="19">
        <f t="shared" si="8"/>
        <v>15.634603531657438</v>
      </c>
      <c r="G28" s="19">
        <f t="shared" si="8"/>
        <v>40.242105673919333</v>
      </c>
      <c r="H28" s="19">
        <f t="shared" si="8"/>
        <v>62.109886031337105</v>
      </c>
      <c r="I28" s="19">
        <f t="shared" si="8"/>
        <v>80.410462987319832</v>
      </c>
      <c r="J28" s="19">
        <f t="shared" si="8"/>
        <v>94.625412688891288</v>
      </c>
      <c r="K28" s="19">
        <f t="shared" si="8"/>
        <v>104.5567996575481</v>
      </c>
      <c r="L28" s="19">
        <f t="shared" si="8"/>
        <v>110.30567079410058</v>
      </c>
      <c r="M28" s="19">
        <f t="shared" si="8"/>
        <v>112.22312455447674</v>
      </c>
      <c r="N28" s="19">
        <f t="shared" si="8"/>
        <v>110.84259203254325</v>
      </c>
      <c r="O28" s="19">
        <f t="shared" si="8"/>
        <v>106.80352996442363</v>
      </c>
      <c r="P28" s="19">
        <f t="shared" si="8"/>
        <v>100.77660674397713</v>
      </c>
      <c r="Q28" s="19">
        <f t="shared" si="8"/>
        <v>93.398856856231617</v>
      </c>
      <c r="R28" s="19">
        <f t="shared" si="8"/>
        <v>85.224632014925461</v>
      </c>
    </row>
    <row r="29" spans="1:18" x14ac:dyDescent="0.3">
      <c r="A29" t="s">
        <v>107</v>
      </c>
      <c r="C29" s="19">
        <f>Assumptions!$C$17*Assumptions!$C$19*C18</f>
        <v>220.8</v>
      </c>
      <c r="D29" s="19">
        <f>Assumptions!$C$17*Assumptions!$C$19*(1+Assumptions!$C$19)^(D$3-2010)*D18</f>
        <v>219.34848000000002</v>
      </c>
      <c r="E29" s="19">
        <f>Assumptions!$C$17*Assumptions!$C$19*(1+Assumptions!$C$19)^(E$3-2010)*E18</f>
        <v>217.73905920000001</v>
      </c>
      <c r="F29" s="19">
        <f>Assumptions!$C$17*Assumptions!$C$19*(1+Assumptions!$C$19)^(F$3-2010)*F18</f>
        <v>215.64992716800003</v>
      </c>
      <c r="G29" s="19">
        <f>Assumptions!$C$17*Assumptions!$C$19*(1+Assumptions!$C$19)^(G$3-2010)*G18</f>
        <v>213.04528207871999</v>
      </c>
      <c r="H29" s="19">
        <f>Assumptions!$C$17*Assumptions!$C$19*(1+Assumptions!$C$19)^(H$3-2010)*H18</f>
        <v>209.88722549882888</v>
      </c>
      <c r="I29" s="19">
        <f>Assumptions!$C$17*Assumptions!$C$19*(1+Assumptions!$C$19)^(I$3-2010)*I18</f>
        <v>206.13565194122043</v>
      </c>
      <c r="J29" s="19">
        <f>Assumptions!$C$17*Assumptions!$C$19*(1+Assumptions!$C$19)^(J$3-2010)*J18</f>
        <v>201.74813293820517</v>
      </c>
      <c r="K29" s="19">
        <f>Assumptions!$C$17*Assumptions!$C$19*(1+Assumptions!$C$19)^(K$3-2010)*K18</f>
        <v>196.67979537184274</v>
      </c>
      <c r="L29" s="19">
        <f>Assumptions!$C$17*Assumptions!$C$19*(1+Assumptions!$C$19)^(L$3-2010)*L18</f>
        <v>190.88319378747022</v>
      </c>
      <c r="M29" s="19">
        <f>Assumptions!$C$17*Assumptions!$C$19*(1+Assumptions!$C$19)^(M$3-2010)*M18</f>
        <v>184.3081764037529</v>
      </c>
      <c r="N29" s="19">
        <f>Assumptions!$C$17*Assumptions!$C$19*(1+Assumptions!$C$19)^(N$3-2010)*N18</f>
        <v>176.90174451927825</v>
      </c>
      <c r="O29" s="19">
        <f>Assumptions!$C$17*Assumptions!$C$19*(1+Assumptions!$C$19)^(O$3-2010)*O18</f>
        <v>168.60790500179968</v>
      </c>
      <c r="P29" s="19">
        <f>Assumptions!$C$17*Assumptions!$C$19*(1+Assumptions!$C$19)^(P$3-2010)*P18</f>
        <v>159.36751553169194</v>
      </c>
      <c r="Q29" s="19">
        <f>Assumptions!$C$17*Assumptions!$C$19*(1+Assumptions!$C$19)^(Q$3-2010)*Q18</f>
        <v>149.11812225597265</v>
      </c>
      <c r="R29" s="19">
        <f>Assumptions!$C$17*Assumptions!$C$19*(1+Assumptions!$C$19)^(R$3-2010)*R18</f>
        <v>137.79378949334514</v>
      </c>
    </row>
    <row r="30" spans="1:18" x14ac:dyDescent="0.3">
      <c r="A30" s="2" t="s">
        <v>108</v>
      </c>
      <c r="C30" s="19">
        <f>C24-C25+C26+C29</f>
        <v>4924.32</v>
      </c>
      <c r="D30" s="19">
        <f>D24-D25+D26+D29</f>
        <v>4856.5806239999993</v>
      </c>
      <c r="E30" s="19">
        <f t="shared" ref="E30:R30" si="9">E24-E25+E26+E29</f>
        <v>4737.7586459567992</v>
      </c>
      <c r="F30" s="19">
        <f t="shared" si="9"/>
        <v>4572.9665538544687</v>
      </c>
      <c r="G30" s="19">
        <f t="shared" si="9"/>
        <v>4343.3486735200768</v>
      </c>
      <c r="H30" s="19">
        <f t="shared" si="9"/>
        <v>4061.1344943090812</v>
      </c>
      <c r="I30" s="19">
        <f t="shared" si="9"/>
        <v>3740.1348888889825</v>
      </c>
      <c r="J30" s="19">
        <f t="shared" si="9"/>
        <v>3394.7012875827295</v>
      </c>
      <c r="K30" s="19">
        <f t="shared" si="9"/>
        <v>3038.7237133361036</v>
      </c>
      <c r="L30" s="19">
        <f t="shared" si="9"/>
        <v>2684.7637453224102</v>
      </c>
      <c r="M30" s="19">
        <f t="shared" si="9"/>
        <v>2343.3951803920349</v>
      </c>
      <c r="N30" s="19">
        <f t="shared" si="9"/>
        <v>2022.7941281140841</v>
      </c>
      <c r="O30" s="19">
        <f t="shared" si="9"/>
        <v>1728.5867366033813</v>
      </c>
      <c r="P30" s="19">
        <f t="shared" si="9"/>
        <v>1463.9319256462636</v>
      </c>
      <c r="Q30" s="19">
        <f t="shared" si="9"/>
        <v>1229.7926697680443</v>
      </c>
      <c r="R30" s="19">
        <f t="shared" si="9"/>
        <v>1025.3351592649426</v>
      </c>
    </row>
    <row r="31" spans="1:18" x14ac:dyDescent="0.3"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x14ac:dyDescent="0.3">
      <c r="A32" s="2" t="s">
        <v>7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1:18" x14ac:dyDescent="0.3">
      <c r="A33" t="s">
        <v>102</v>
      </c>
      <c r="C33" s="19">
        <f>Assumptions!C17*Assumptions!G5</f>
        <v>1020.0000000000001</v>
      </c>
      <c r="D33" s="19">
        <f>C39</f>
        <v>1255.68</v>
      </c>
      <c r="E33" s="19">
        <f t="shared" ref="E33:R33" si="10">D39</f>
        <v>1551.4776000000002</v>
      </c>
      <c r="F33" s="19">
        <f t="shared" si="10"/>
        <v>1903.162001184</v>
      </c>
      <c r="G33" s="19">
        <f t="shared" si="10"/>
        <v>2305.7648473226736</v>
      </c>
      <c r="H33" s="19">
        <f t="shared" si="10"/>
        <v>2748.3528327682639</v>
      </c>
      <c r="I33" s="19">
        <f t="shared" si="10"/>
        <v>3219.5668013952622</v>
      </c>
      <c r="J33" s="19">
        <f t="shared" si="10"/>
        <v>3707.1058390734361</v>
      </c>
      <c r="K33" s="19">
        <f t="shared" si="10"/>
        <v>4198.5597354002994</v>
      </c>
      <c r="L33" s="19">
        <f t="shared" si="10"/>
        <v>4682.1922353932487</v>
      </c>
      <c r="M33" s="19">
        <f t="shared" si="10"/>
        <v>5147.6022545824208</v>
      </c>
      <c r="N33" s="19">
        <f t="shared" si="10"/>
        <v>5586.2097797580518</v>
      </c>
      <c r="O33" s="19">
        <f t="shared" si="10"/>
        <v>5991.5382152114153</v>
      </c>
      <c r="P33" s="19">
        <f t="shared" si="10"/>
        <v>6359.2913280256289</v>
      </c>
      <c r="Q33" s="19">
        <f t="shared" si="10"/>
        <v>6687.24666232646</v>
      </c>
      <c r="R33" s="19">
        <f t="shared" si="10"/>
        <v>6988.7975662668186</v>
      </c>
    </row>
    <row r="34" spans="1:18" x14ac:dyDescent="0.3">
      <c r="A34" s="2" t="s">
        <v>103</v>
      </c>
      <c r="C34" s="19">
        <f>C33*(Assumptions!$C$15/Assumptions!$F$5)</f>
        <v>140.25000000000003</v>
      </c>
      <c r="D34" s="19">
        <f>D33*(Assumptions!$C$15/Assumptions!$F$5)</f>
        <v>172.65600000000003</v>
      </c>
      <c r="E34" s="19">
        <f>E33*(Assumptions!$C$15/Assumptions!$F$5)</f>
        <v>213.32817000000003</v>
      </c>
      <c r="F34" s="19">
        <f>F33*(Assumptions!$C$15/Assumptions!$F$5)</f>
        <v>261.68477516280001</v>
      </c>
      <c r="G34" s="19">
        <f>G33*(Assumptions!$C$15/Assumptions!$F$5)</f>
        <v>317.04266650686765</v>
      </c>
      <c r="H34" s="19">
        <f>H33*(Assumptions!$C$15/Assumptions!$F$5)</f>
        <v>377.89851450563629</v>
      </c>
      <c r="I34" s="19">
        <f>I33*(Assumptions!$C$15/Assumptions!$F$5)</f>
        <v>442.69043519184862</v>
      </c>
      <c r="J34" s="19">
        <f>J33*(Assumptions!$C$15/Assumptions!$F$5)</f>
        <v>509.72705287259748</v>
      </c>
      <c r="K34" s="19">
        <f>K33*(Assumptions!$C$15/Assumptions!$F$5)</f>
        <v>577.30196361754122</v>
      </c>
      <c r="L34" s="19">
        <f>L33*(Assumptions!$C$15/Assumptions!$F$5)</f>
        <v>643.8014323665717</v>
      </c>
      <c r="M34" s="19">
        <f>M33*(Assumptions!$C$15/Assumptions!$F$5)</f>
        <v>707.79531000508291</v>
      </c>
      <c r="N34" s="19">
        <f>N33*(Assumptions!$C$15/Assumptions!$F$5)</f>
        <v>768.10384471673217</v>
      </c>
      <c r="O34" s="19">
        <f>O33*(Assumptions!$C$15/Assumptions!$F$5)</f>
        <v>823.83650459156968</v>
      </c>
      <c r="P34" s="19">
        <f>P33*(Assumptions!$C$15/Assumptions!$F$5)</f>
        <v>874.40255760352409</v>
      </c>
      <c r="Q34" s="19">
        <f>Q33*(Assumptions!$C$15/Assumptions!$F$5)</f>
        <v>919.49641606988837</v>
      </c>
      <c r="R34" s="19">
        <f>R33*(Assumptions!$C$15/Assumptions!$F$5)</f>
        <v>960.9596653616876</v>
      </c>
    </row>
    <row r="35" spans="1:18" x14ac:dyDescent="0.3">
      <c r="A35" t="s">
        <v>109</v>
      </c>
      <c r="C35" s="19">
        <f>C34*C14</f>
        <v>140.25000000000003</v>
      </c>
      <c r="D35" s="19">
        <f>D34*D14</f>
        <v>172.65600000000003</v>
      </c>
      <c r="E35" s="19">
        <f t="shared" ref="E35:R35" si="11">E34*E14</f>
        <v>213.32817000000003</v>
      </c>
      <c r="F35" s="19">
        <f t="shared" si="11"/>
        <v>261.68477516280001</v>
      </c>
      <c r="G35" s="19">
        <f t="shared" si="11"/>
        <v>312.28702650926465</v>
      </c>
      <c r="H35" s="19">
        <f t="shared" si="11"/>
        <v>366.56155907046718</v>
      </c>
      <c r="I35" s="19">
        <f t="shared" si="11"/>
        <v>422.76936560821542</v>
      </c>
      <c r="J35" s="19">
        <f t="shared" si="11"/>
        <v>479.1434297002416</v>
      </c>
      <c r="K35" s="19">
        <f t="shared" si="11"/>
        <v>534.00431634622566</v>
      </c>
      <c r="L35" s="19">
        <f t="shared" si="11"/>
        <v>585.85930345358031</v>
      </c>
      <c r="M35" s="19">
        <f t="shared" si="11"/>
        <v>633.47680245454922</v>
      </c>
      <c r="N35" s="19">
        <f t="shared" si="11"/>
        <v>675.93138335072433</v>
      </c>
      <c r="O35" s="19">
        <f t="shared" si="11"/>
        <v>712.6185764717078</v>
      </c>
      <c r="P35" s="19">
        <f t="shared" si="11"/>
        <v>743.24217396299548</v>
      </c>
      <c r="Q35" s="19">
        <f t="shared" si="11"/>
        <v>781.57195365940504</v>
      </c>
      <c r="R35" s="19">
        <f t="shared" si="11"/>
        <v>816.81571555743449</v>
      </c>
    </row>
    <row r="36" spans="1:18" x14ac:dyDescent="0.3">
      <c r="A36" s="2" t="s">
        <v>106</v>
      </c>
      <c r="C36" s="19">
        <f>C34*C15</f>
        <v>0</v>
      </c>
      <c r="D36" s="19">
        <f>D34*D15</f>
        <v>0</v>
      </c>
      <c r="E36" s="19">
        <f t="shared" ref="E36:R36" si="12">E34*E15</f>
        <v>0</v>
      </c>
      <c r="F36" s="19">
        <f t="shared" si="12"/>
        <v>0</v>
      </c>
      <c r="G36" s="19">
        <f t="shared" si="12"/>
        <v>4.7556399976030148</v>
      </c>
      <c r="H36" s="19">
        <f t="shared" si="12"/>
        <v>11.336955435169088</v>
      </c>
      <c r="I36" s="19">
        <f t="shared" si="12"/>
        <v>19.921069583633187</v>
      </c>
      <c r="J36" s="19">
        <f t="shared" si="12"/>
        <v>30.583623172355846</v>
      </c>
      <c r="K36" s="19">
        <f t="shared" si="12"/>
        <v>43.29764727131559</v>
      </c>
      <c r="L36" s="19">
        <f t="shared" si="12"/>
        <v>57.94212891299145</v>
      </c>
      <c r="M36" s="19">
        <f t="shared" si="12"/>
        <v>74.31850755053371</v>
      </c>
      <c r="N36" s="19">
        <f t="shared" si="12"/>
        <v>92.172461366007852</v>
      </c>
      <c r="O36" s="19">
        <f t="shared" si="12"/>
        <v>111.21792811986191</v>
      </c>
      <c r="P36" s="19">
        <f t="shared" si="12"/>
        <v>131.16038364052861</v>
      </c>
      <c r="Q36" s="19">
        <f t="shared" si="12"/>
        <v>137.92446241048324</v>
      </c>
      <c r="R36" s="19">
        <f t="shared" si="12"/>
        <v>144.14394980425314</v>
      </c>
    </row>
    <row r="37" spans="1:18" x14ac:dyDescent="0.3">
      <c r="A37" t="s">
        <v>110</v>
      </c>
      <c r="C37" s="19">
        <f>C27</f>
        <v>216.48000000000002</v>
      </c>
      <c r="D37" s="19">
        <f>D27</f>
        <v>270.83760000000001</v>
      </c>
      <c r="E37" s="19">
        <f t="shared" ref="E37:R37" si="13">E27</f>
        <v>320.53432118400002</v>
      </c>
      <c r="F37" s="19">
        <f t="shared" si="13"/>
        <v>364.80741573867357</v>
      </c>
      <c r="G37" s="19">
        <f t="shared" si="13"/>
        <v>402.42105673919332</v>
      </c>
      <c r="H37" s="19">
        <f t="shared" si="13"/>
        <v>429.99151867848758</v>
      </c>
      <c r="I37" s="19">
        <f t="shared" si="13"/>
        <v>446.72479437399892</v>
      </c>
      <c r="J37" s="19">
        <f t="shared" si="13"/>
        <v>452.55632155556691</v>
      </c>
      <c r="K37" s="19">
        <f t="shared" si="13"/>
        <v>448.10056996092027</v>
      </c>
      <c r="L37" s="19">
        <f t="shared" si="13"/>
        <v>434.53749100706278</v>
      </c>
      <c r="M37" s="19">
        <f t="shared" si="13"/>
        <v>413.45361677965116</v>
      </c>
      <c r="N37" s="19">
        <f t="shared" si="13"/>
        <v>386.66020476468577</v>
      </c>
      <c r="O37" s="19">
        <f t="shared" si="13"/>
        <v>356.01176654807881</v>
      </c>
      <c r="P37" s="19">
        <f t="shared" si="13"/>
        <v>323.24571974483234</v>
      </c>
      <c r="Q37" s="19">
        <f t="shared" si="13"/>
        <v>289.85852127796028</v>
      </c>
      <c r="R37" s="19">
        <f t="shared" si="13"/>
        <v>257.02666798152137</v>
      </c>
    </row>
    <row r="38" spans="1:18" x14ac:dyDescent="0.3">
      <c r="A38" s="2" t="s">
        <v>111</v>
      </c>
      <c r="C38" s="19">
        <f>Assumptions!$C$17*Assumptions!$C$19*C19</f>
        <v>19.2</v>
      </c>
      <c r="D38" s="19">
        <f>Assumptions!$C$17*Assumptions!$C$19*(1+Assumptions!$C$19)^(D$3-2010)*D19</f>
        <v>24.960000000000004</v>
      </c>
      <c r="E38" s="19">
        <f>Assumptions!$C$17*Assumptions!$C$19*(1+Assumptions!$C$19)^(E$3-2010)*E19</f>
        <v>31.150080000000003</v>
      </c>
      <c r="F38" s="19">
        <f>Assumptions!$C$17*Assumptions!$C$19*(1+Assumptions!$C$19)^(F$3-2010)*F19</f>
        <v>37.795430400000008</v>
      </c>
      <c r="G38" s="19">
        <f>Assumptions!$C$17*Assumptions!$C$19*(1+Assumptions!$C$19)^(G$3-2010)*G19</f>
        <v>44.922568704000007</v>
      </c>
      <c r="H38" s="19">
        <f>Assumptions!$C$17*Assumptions!$C$19*(1+Assumptions!$C$19)^(H$3-2010)*H19</f>
        <v>52.559405383680016</v>
      </c>
      <c r="I38" s="19">
        <f>Assumptions!$C$17*Assumptions!$C$19*(1+Assumptions!$C$19)^(I$3-2010)*I19</f>
        <v>60.735312887808007</v>
      </c>
      <c r="J38" s="19">
        <f>Assumptions!$C$17*Assumptions!$C$19*(1+Assumptions!$C$19)^(J$3-2010)*J19</f>
        <v>69.481197943652361</v>
      </c>
      <c r="K38" s="19">
        <f>Assumptions!$C$17*Assumptions!$C$19*(1+Assumptions!$C$19)^(K$3-2010)*K19</f>
        <v>78.829577303343783</v>
      </c>
      <c r="L38" s="19">
        <f>Assumptions!$C$17*Assumptions!$C$19*(1+Assumptions!$C$19)^(L$3-2010)*L19</f>
        <v>88.814657095100657</v>
      </c>
      <c r="M38" s="19">
        <f>Assumptions!$C$17*Assumptions!$C$19*(1+Assumptions!$C$19)^(M$3-2010)*M19</f>
        <v>99.47241594651274</v>
      </c>
      <c r="N38" s="19">
        <f>Assumptions!$C$17*Assumptions!$C$19*(1+Assumptions!$C$19)^(N$3-2010)*N19</f>
        <v>110.84069205468562</v>
      </c>
      <c r="O38" s="19">
        <f>Assumptions!$C$17*Assumptions!$C$19*(1+Assumptions!$C$19)^(O$3-2010)*O19</f>
        <v>122.95927438599796</v>
      </c>
      <c r="P38" s="19">
        <f>Assumptions!$C$17*Assumptions!$C$19*(1+Assumptions!$C$19)^(P$3-2010)*P19</f>
        <v>135.86999819652775</v>
      </c>
      <c r="Q38" s="19">
        <f>Assumptions!$C$17*Assumptions!$C$19*(1+Assumptions!$C$19)^(Q$3-2010)*Q19</f>
        <v>149.61684507288234</v>
      </c>
      <c r="R38" s="19">
        <f>Assumptions!$C$17*Assumptions!$C$19*(1+Assumptions!$C$19)^(R$3-2010)*R19</f>
        <v>164.24604770223081</v>
      </c>
    </row>
    <row r="39" spans="1:18" x14ac:dyDescent="0.3">
      <c r="A39" s="2" t="s">
        <v>108</v>
      </c>
      <c r="C39" s="19">
        <f>C33-C34+C35+C37+C38</f>
        <v>1255.68</v>
      </c>
      <c r="D39" s="19">
        <f>D33-D34+D35+D37+D38</f>
        <v>1551.4776000000002</v>
      </c>
      <c r="E39" s="19">
        <f t="shared" ref="E39:R39" si="14">E33-E34+E35+E37+E38</f>
        <v>1903.162001184</v>
      </c>
      <c r="F39" s="19">
        <f t="shared" si="14"/>
        <v>2305.7648473226736</v>
      </c>
      <c r="G39" s="19">
        <f t="shared" si="14"/>
        <v>2748.3528327682639</v>
      </c>
      <c r="H39" s="19">
        <f t="shared" si="14"/>
        <v>3219.5668013952622</v>
      </c>
      <c r="I39" s="19">
        <f t="shared" si="14"/>
        <v>3707.1058390734361</v>
      </c>
      <c r="J39" s="19">
        <f t="shared" si="14"/>
        <v>4198.5597354002994</v>
      </c>
      <c r="K39" s="19">
        <f t="shared" si="14"/>
        <v>4682.1922353932487</v>
      </c>
      <c r="L39" s="19">
        <f t="shared" si="14"/>
        <v>5147.6022545824208</v>
      </c>
      <c r="M39" s="19">
        <f t="shared" si="14"/>
        <v>5586.2097797580518</v>
      </c>
      <c r="N39" s="19">
        <f t="shared" si="14"/>
        <v>5991.5382152114153</v>
      </c>
      <c r="O39" s="19">
        <f t="shared" si="14"/>
        <v>6359.2913280256289</v>
      </c>
      <c r="P39" s="19">
        <f t="shared" si="14"/>
        <v>6687.24666232646</v>
      </c>
      <c r="Q39" s="19">
        <f t="shared" si="14"/>
        <v>6988.7975662668186</v>
      </c>
      <c r="R39" s="19">
        <f t="shared" si="14"/>
        <v>7265.9263321463177</v>
      </c>
    </row>
    <row r="40" spans="1:18" x14ac:dyDescent="0.3"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x14ac:dyDescent="0.3">
      <c r="A41" s="2" t="s">
        <v>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 spans="1:18" x14ac:dyDescent="0.3">
      <c r="A42" s="2" t="s">
        <v>102</v>
      </c>
      <c r="C42" s="19">
        <f>Assumptions!C17*Assumptions!G6</f>
        <v>60</v>
      </c>
      <c r="D42" s="19">
        <f>C48</f>
        <v>76.524000000000001</v>
      </c>
      <c r="E42" s="19">
        <f t="shared" ref="E42:R42" si="15">D48</f>
        <v>98.065776000000014</v>
      </c>
      <c r="F42" s="19">
        <f t="shared" si="15"/>
        <v>124.78735285920001</v>
      </c>
      <c r="G42" s="19">
        <f t="shared" si="15"/>
        <v>156.94395882285744</v>
      </c>
      <c r="H42" s="19">
        <f t="shared" si="15"/>
        <v>224.73990811165979</v>
      </c>
      <c r="I42" s="19">
        <f t="shared" si="15"/>
        <v>327.73681527165718</v>
      </c>
      <c r="J42" s="19">
        <f t="shared" si="15"/>
        <v>464.87394745262185</v>
      </c>
      <c r="K42" s="19">
        <f t="shared" si="15"/>
        <v>634.67727944861304</v>
      </c>
      <c r="L42" s="19">
        <f t="shared" si="15"/>
        <v>835.47892579955601</v>
      </c>
      <c r="M42" s="19">
        <f t="shared" si="15"/>
        <v>1065.6237096052337</v>
      </c>
      <c r="N42" s="19">
        <f t="shared" si="15"/>
        <v>1323.6433777403811</v>
      </c>
      <c r="O42" s="19">
        <f t="shared" si="15"/>
        <v>1608.384968080587</v>
      </c>
      <c r="P42" s="19">
        <f t="shared" si="15"/>
        <v>1919.0869792333185</v>
      </c>
      <c r="Q42" s="19">
        <f t="shared" si="15"/>
        <v>2255.4040976440979</v>
      </c>
      <c r="R42" s="19">
        <f t="shared" si="15"/>
        <v>2603.5947970066309</v>
      </c>
    </row>
    <row r="43" spans="1:18" x14ac:dyDescent="0.3">
      <c r="A43" s="2" t="s">
        <v>103</v>
      </c>
      <c r="C43" s="19">
        <f>C42*(Assumptions!$C$15/Assumptions!$F$6)</f>
        <v>1.3199999999999998</v>
      </c>
      <c r="D43" s="19">
        <f>D42*(Assumptions!$C$15/Assumptions!$F$6)</f>
        <v>1.6835279999999999</v>
      </c>
      <c r="E43" s="19">
        <f>E42*(Assumptions!$C$15/Assumptions!$F$6)</f>
        <v>2.1574470720000001</v>
      </c>
      <c r="F43" s="19">
        <f>F42*(Assumptions!$C$15/Assumptions!$F$6)</f>
        <v>2.7453217629024</v>
      </c>
      <c r="G43" s="19">
        <f>G42*(Assumptions!$C$15/Assumptions!$F$6)</f>
        <v>3.4527670941028634</v>
      </c>
      <c r="H43" s="19">
        <f>H42*(Assumptions!$C$15/Assumptions!$F$6)</f>
        <v>4.9442779784565154</v>
      </c>
      <c r="I43" s="19">
        <f>I42*(Assumptions!$C$15/Assumptions!$F$6)</f>
        <v>7.2102099359764571</v>
      </c>
      <c r="J43" s="19">
        <f>J42*(Assumptions!$C$15/Assumptions!$F$6)</f>
        <v>10.227226843957681</v>
      </c>
      <c r="K43" s="19">
        <f>K42*(Assumptions!$C$15/Assumptions!$F$6)</f>
        <v>13.962900147869487</v>
      </c>
      <c r="L43" s="19">
        <f>L42*(Assumptions!$C$15/Assumptions!$F$6)</f>
        <v>18.380536367590231</v>
      </c>
      <c r="M43" s="19">
        <f>M42*(Assumptions!$C$15/Assumptions!$F$6)</f>
        <v>23.443721611315141</v>
      </c>
      <c r="N43" s="19">
        <f>N42*(Assumptions!$C$15/Assumptions!$F$6)</f>
        <v>29.120154310288381</v>
      </c>
      <c r="O43" s="19">
        <f>O42*(Assumptions!$C$15/Assumptions!$F$6)</f>
        <v>35.38446929777291</v>
      </c>
      <c r="P43" s="19">
        <f>P42*(Assumptions!$C$15/Assumptions!$F$6)</f>
        <v>42.219913543133003</v>
      </c>
      <c r="Q43" s="19">
        <f>Q42*(Assumptions!$C$15/Assumptions!$F$6)</f>
        <v>49.618890148170152</v>
      </c>
      <c r="R43" s="19">
        <f>R42*(Assumptions!$C$15/Assumptions!$F$6)</f>
        <v>57.279085534145878</v>
      </c>
    </row>
    <row r="44" spans="1:18" x14ac:dyDescent="0.3">
      <c r="A44" s="2" t="s">
        <v>112</v>
      </c>
      <c r="C44" s="19">
        <f>C43</f>
        <v>1.3199999999999998</v>
      </c>
      <c r="D44" s="19">
        <f>D43</f>
        <v>1.6835279999999999</v>
      </c>
      <c r="E44" s="19">
        <f t="shared" ref="E44:R44" si="16">E43</f>
        <v>2.1574470720000001</v>
      </c>
      <c r="F44" s="19">
        <f t="shared" si="16"/>
        <v>2.7453217629024</v>
      </c>
      <c r="G44" s="19">
        <f t="shared" si="16"/>
        <v>3.4527670941028634</v>
      </c>
      <c r="H44" s="19">
        <f t="shared" si="16"/>
        <v>4.9442779784565154</v>
      </c>
      <c r="I44" s="19">
        <f t="shared" si="16"/>
        <v>7.2102099359764571</v>
      </c>
      <c r="J44" s="19">
        <f t="shared" si="16"/>
        <v>10.227226843957681</v>
      </c>
      <c r="K44" s="19">
        <f t="shared" si="16"/>
        <v>13.962900147869487</v>
      </c>
      <c r="L44" s="19">
        <f t="shared" si="16"/>
        <v>18.380536367590231</v>
      </c>
      <c r="M44" s="19">
        <f t="shared" si="16"/>
        <v>23.443721611315141</v>
      </c>
      <c r="N44" s="19">
        <f t="shared" si="16"/>
        <v>29.120154310288381</v>
      </c>
      <c r="O44" s="19">
        <f t="shared" si="16"/>
        <v>35.38446929777291</v>
      </c>
      <c r="P44" s="19">
        <f t="shared" si="16"/>
        <v>42.219913543133003</v>
      </c>
      <c r="Q44" s="19">
        <f t="shared" si="16"/>
        <v>49.618890148170152</v>
      </c>
      <c r="R44" s="19">
        <f t="shared" si="16"/>
        <v>57.279085534145878</v>
      </c>
    </row>
    <row r="45" spans="1:18" x14ac:dyDescent="0.3">
      <c r="A45" s="2" t="s">
        <v>110</v>
      </c>
      <c r="C45" s="19">
        <f>C28</f>
        <v>16.236000000000001</v>
      </c>
      <c r="D45" s="19">
        <f>D28</f>
        <v>16.250256</v>
      </c>
      <c r="E45" s="19">
        <f t="shared" ref="E45:R45" si="17">E28</f>
        <v>16.026716059200002</v>
      </c>
      <c r="F45" s="19">
        <f t="shared" si="17"/>
        <v>15.634603531657438</v>
      </c>
      <c r="G45" s="19">
        <f t="shared" si="17"/>
        <v>40.242105673919333</v>
      </c>
      <c r="H45" s="19">
        <f t="shared" si="17"/>
        <v>62.109886031337105</v>
      </c>
      <c r="I45" s="19">
        <f t="shared" si="17"/>
        <v>80.410462987319832</v>
      </c>
      <c r="J45" s="19">
        <f t="shared" si="17"/>
        <v>94.625412688891288</v>
      </c>
      <c r="K45" s="19">
        <f t="shared" si="17"/>
        <v>104.5567996575481</v>
      </c>
      <c r="L45" s="19">
        <f t="shared" si="17"/>
        <v>110.30567079410058</v>
      </c>
      <c r="M45" s="19">
        <f t="shared" si="17"/>
        <v>112.22312455447674</v>
      </c>
      <c r="N45" s="19">
        <f t="shared" si="17"/>
        <v>110.84259203254325</v>
      </c>
      <c r="O45" s="19">
        <f t="shared" si="17"/>
        <v>106.80352996442363</v>
      </c>
      <c r="P45" s="19">
        <f t="shared" si="17"/>
        <v>100.77660674397713</v>
      </c>
      <c r="Q45" s="19">
        <f t="shared" si="17"/>
        <v>93.398856856231617</v>
      </c>
      <c r="R45" s="19">
        <f t="shared" si="17"/>
        <v>85.224632014925461</v>
      </c>
    </row>
    <row r="46" spans="1:18" x14ac:dyDescent="0.3">
      <c r="A46" s="2" t="s">
        <v>113</v>
      </c>
      <c r="C46" s="19">
        <f>C36</f>
        <v>0</v>
      </c>
      <c r="D46" s="19">
        <f>D36</f>
        <v>0</v>
      </c>
      <c r="E46" s="19">
        <f t="shared" ref="E46:R46" si="18">E36</f>
        <v>0</v>
      </c>
      <c r="F46" s="19">
        <f t="shared" si="18"/>
        <v>0</v>
      </c>
      <c r="G46" s="19">
        <f t="shared" si="18"/>
        <v>4.7556399976030148</v>
      </c>
      <c r="H46" s="19">
        <f t="shared" si="18"/>
        <v>11.336955435169088</v>
      </c>
      <c r="I46" s="19">
        <f t="shared" si="18"/>
        <v>19.921069583633187</v>
      </c>
      <c r="J46" s="19">
        <f t="shared" si="18"/>
        <v>30.583623172355846</v>
      </c>
      <c r="K46" s="19">
        <f t="shared" si="18"/>
        <v>43.29764727131559</v>
      </c>
      <c r="L46" s="19">
        <f t="shared" si="18"/>
        <v>57.94212891299145</v>
      </c>
      <c r="M46" s="19">
        <f t="shared" si="18"/>
        <v>74.31850755053371</v>
      </c>
      <c r="N46" s="19">
        <f t="shared" si="18"/>
        <v>92.172461366007852</v>
      </c>
      <c r="O46" s="19">
        <f t="shared" si="18"/>
        <v>111.21792811986191</v>
      </c>
      <c r="P46" s="19">
        <f t="shared" si="18"/>
        <v>131.16038364052861</v>
      </c>
      <c r="Q46" s="19">
        <f t="shared" si="18"/>
        <v>137.92446241048324</v>
      </c>
      <c r="R46" s="19">
        <f t="shared" si="18"/>
        <v>144.14394980425314</v>
      </c>
    </row>
    <row r="47" spans="1:18" x14ac:dyDescent="0.3">
      <c r="A47" s="2" t="s">
        <v>114</v>
      </c>
      <c r="C47" s="19">
        <f>Assumptions!$C$17*Assumptions!$C$19*C20</f>
        <v>0.28799999999999998</v>
      </c>
      <c r="D47" s="19">
        <f>Assumptions!$C$17*Assumptions!$C$19*(1+Assumptions!$C$19)^(D$3-2010)*D20</f>
        <v>5.2915200000000002</v>
      </c>
      <c r="E47" s="19">
        <f>Assumptions!$C$17*Assumptions!$C$19*(1+Assumptions!$C$19)^(E$3-2010)*E20</f>
        <v>10.694860800000001</v>
      </c>
      <c r="F47" s="19">
        <f>Assumptions!$C$17*Assumptions!$C$19*(1+Assumptions!$C$19)^(F$3-2010)*F20</f>
        <v>16.522002432000004</v>
      </c>
      <c r="G47" s="19">
        <f>Assumptions!$C$17*Assumptions!$C$19*(1+Assumptions!$C$19)^(G$3-2010)*G20</f>
        <v>22.798203617280006</v>
      </c>
      <c r="H47" s="19">
        <f>Assumptions!$C$17*Assumptions!$C$19*(1+Assumptions!$C$19)^(H$3-2010)*H20</f>
        <v>29.550065693491213</v>
      </c>
      <c r="I47" s="19">
        <f>Assumptions!$C$17*Assumptions!$C$19*(1+Assumptions!$C$19)^(I$3-2010)*I20</f>
        <v>36.805599610011662</v>
      </c>
      <c r="J47" s="19">
        <f>Assumptions!$C$17*Assumptions!$C$19*(1+Assumptions!$C$19)^(J$3-2010)*J20</f>
        <v>44.594296134744162</v>
      </c>
      <c r="K47" s="19">
        <f>Assumptions!$C$17*Assumptions!$C$19*(1+Assumptions!$C$19)^(K$3-2010)*K20</f>
        <v>52.947199422079251</v>
      </c>
      <c r="L47" s="19">
        <f>Assumptions!$C$17*Assumptions!$C$19*(1+Assumptions!$C$19)^(L$3-2010)*L20</f>
        <v>61.896984098585548</v>
      </c>
      <c r="M47" s="19">
        <f>Assumptions!$C$17*Assumptions!$C$19*(1+Assumptions!$C$19)^(M$3-2010)*M20</f>
        <v>71.478036030137019</v>
      </c>
      <c r="N47" s="19">
        <f>Assumptions!$C$17*Assumptions!$C$19*(1+Assumptions!$C$19)^(N$3-2010)*N20</f>
        <v>81.726536941654857</v>
      </c>
      <c r="O47" s="19">
        <f>Assumptions!$C$17*Assumptions!$C$19*(1+Assumptions!$C$19)^(O$3-2010)*O20</f>
        <v>92.680553068445946</v>
      </c>
      <c r="P47" s="19">
        <f>Assumptions!$C$17*Assumptions!$C$19*(1+Assumptions!$C$19)^(P$3-2010)*P20</f>
        <v>104.38012802627367</v>
      </c>
      <c r="Q47" s="19">
        <f>Assumptions!$C$17*Assumptions!$C$19*(1+Assumptions!$C$19)^(Q$3-2010)*Q20</f>
        <v>116.86738009581808</v>
      </c>
      <c r="R47" s="19">
        <f>Assumptions!$C$17*Assumptions!$C$19*(1+Assumptions!$C$19)^(R$3-2010)*R20</f>
        <v>130.18660412608401</v>
      </c>
    </row>
    <row r="48" spans="1:18" x14ac:dyDescent="0.3">
      <c r="A48" s="2" t="s">
        <v>108</v>
      </c>
      <c r="C48" s="19">
        <f>C42-C43+C44+C45+C46+C47</f>
        <v>76.524000000000001</v>
      </c>
      <c r="D48" s="19">
        <f>D42-D43+D44+D45+D46+D47</f>
        <v>98.065776000000014</v>
      </c>
      <c r="E48" s="19">
        <f t="shared" ref="E48:R48" si="19">E42-E43+E44+E45+E46+E47</f>
        <v>124.78735285920001</v>
      </c>
      <c r="F48" s="19">
        <f t="shared" si="19"/>
        <v>156.94395882285744</v>
      </c>
      <c r="G48" s="19">
        <f t="shared" si="19"/>
        <v>224.73990811165979</v>
      </c>
      <c r="H48" s="19">
        <f t="shared" si="19"/>
        <v>327.73681527165718</v>
      </c>
      <c r="I48" s="19">
        <f t="shared" si="19"/>
        <v>464.87394745262185</v>
      </c>
      <c r="J48" s="19">
        <f t="shared" si="19"/>
        <v>634.67727944861304</v>
      </c>
      <c r="K48" s="19">
        <f t="shared" si="19"/>
        <v>835.47892579955601</v>
      </c>
      <c r="L48" s="19">
        <f t="shared" si="19"/>
        <v>1065.6237096052337</v>
      </c>
      <c r="M48" s="19">
        <f t="shared" si="19"/>
        <v>1323.6433777403811</v>
      </c>
      <c r="N48" s="19">
        <f t="shared" si="19"/>
        <v>1608.384968080587</v>
      </c>
      <c r="O48" s="19">
        <f t="shared" si="19"/>
        <v>1919.0869792333185</v>
      </c>
      <c r="P48" s="19">
        <f t="shared" si="19"/>
        <v>2255.4040976440979</v>
      </c>
      <c r="Q48" s="19">
        <f t="shared" si="19"/>
        <v>2603.5947970066309</v>
      </c>
      <c r="R48" s="19">
        <f t="shared" si="19"/>
        <v>2963.1499829518939</v>
      </c>
    </row>
    <row r="50" spans="1:18" x14ac:dyDescent="0.3">
      <c r="A50" s="3" t="s">
        <v>115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3">
      <c r="A51" t="s">
        <v>76</v>
      </c>
      <c r="C51" s="19">
        <f>C26</f>
        <v>5195.5199999999995</v>
      </c>
      <c r="D51" s="19">
        <f t="shared" ref="D51:R51" si="20">D26</f>
        <v>5129.6641440000003</v>
      </c>
      <c r="E51" s="19">
        <f t="shared" si="20"/>
        <v>5005.6776491567998</v>
      </c>
      <c r="F51" s="19">
        <f t="shared" si="20"/>
        <v>4831.0924912821483</v>
      </c>
      <c r="G51" s="19">
        <f t="shared" si="20"/>
        <v>4587.6000468268039</v>
      </c>
      <c r="H51" s="19">
        <f t="shared" si="20"/>
        <v>4285.5821361622602</v>
      </c>
      <c r="I51" s="19">
        <f t="shared" si="20"/>
        <v>3940.1126863786708</v>
      </c>
      <c r="J51" s="19">
        <f t="shared" si="20"/>
        <v>3566.9666435334229</v>
      </c>
      <c r="K51" s="19">
        <f t="shared" si="20"/>
        <v>3181.5140467225342</v>
      </c>
      <c r="L51" s="19">
        <f t="shared" si="20"/>
        <v>2797.7529228685507</v>
      </c>
      <c r="M51" s="19">
        <f t="shared" si="20"/>
        <v>2427.5633785205232</v>
      </c>
      <c r="N51" s="19">
        <f t="shared" si="20"/>
        <v>2080.2319016340093</v>
      </c>
      <c r="O51" s="19">
        <f t="shared" si="20"/>
        <v>1762.2582444129901</v>
      </c>
      <c r="P51" s="19">
        <f t="shared" si="20"/>
        <v>1477.4230837749101</v>
      </c>
      <c r="Q51" s="19">
        <f t="shared" si="20"/>
        <v>1227.0677400766983</v>
      </c>
      <c r="R51" s="19">
        <f t="shared" si="20"/>
        <v>1010.5206367484021</v>
      </c>
    </row>
    <row r="52" spans="1:18" x14ac:dyDescent="0.3">
      <c r="A52" t="s">
        <v>77</v>
      </c>
      <c r="C52" s="19">
        <f>C29</f>
        <v>220.8</v>
      </c>
      <c r="D52" s="19">
        <f t="shared" ref="D52:R52" si="21">D29</f>
        <v>219.34848000000002</v>
      </c>
      <c r="E52" s="19">
        <f t="shared" si="21"/>
        <v>217.73905920000001</v>
      </c>
      <c r="F52" s="19">
        <f t="shared" si="21"/>
        <v>215.64992716800003</v>
      </c>
      <c r="G52" s="19">
        <f t="shared" si="21"/>
        <v>213.04528207871999</v>
      </c>
      <c r="H52" s="19">
        <f t="shared" si="21"/>
        <v>209.88722549882888</v>
      </c>
      <c r="I52" s="19">
        <f t="shared" si="21"/>
        <v>206.13565194122043</v>
      </c>
      <c r="J52" s="19">
        <f t="shared" si="21"/>
        <v>201.74813293820517</v>
      </c>
      <c r="K52" s="19">
        <f t="shared" si="21"/>
        <v>196.67979537184274</v>
      </c>
      <c r="L52" s="19">
        <f t="shared" si="21"/>
        <v>190.88319378747022</v>
      </c>
      <c r="M52" s="19">
        <f t="shared" si="21"/>
        <v>184.3081764037529</v>
      </c>
      <c r="N52" s="19">
        <f t="shared" si="21"/>
        <v>176.90174451927825</v>
      </c>
      <c r="O52" s="19">
        <f t="shared" si="21"/>
        <v>168.60790500179968</v>
      </c>
      <c r="P52" s="19">
        <f t="shared" si="21"/>
        <v>159.36751553169194</v>
      </c>
      <c r="Q52" s="19">
        <f t="shared" si="21"/>
        <v>149.11812225597265</v>
      </c>
      <c r="R52" s="19">
        <f t="shared" si="21"/>
        <v>137.79378949334514</v>
      </c>
    </row>
    <row r="53" spans="1:18" x14ac:dyDescent="0.3">
      <c r="A53" s="21" t="s">
        <v>78</v>
      </c>
      <c r="B53" s="22"/>
      <c r="C53" s="23">
        <f>C51+C52</f>
        <v>5416.32</v>
      </c>
      <c r="D53" s="23">
        <f t="shared" ref="D53:R53" si="22">D51+D52</f>
        <v>5349.012624</v>
      </c>
      <c r="E53" s="23">
        <f t="shared" si="22"/>
        <v>5223.4167083568</v>
      </c>
      <c r="F53" s="23">
        <f t="shared" si="22"/>
        <v>5046.7424184501488</v>
      </c>
      <c r="G53" s="23">
        <f t="shared" si="22"/>
        <v>4800.6453289055244</v>
      </c>
      <c r="H53" s="23">
        <f t="shared" si="22"/>
        <v>4495.4693616610894</v>
      </c>
      <c r="I53" s="23">
        <f t="shared" si="22"/>
        <v>4146.2483383198914</v>
      </c>
      <c r="J53" s="23">
        <f t="shared" si="22"/>
        <v>3768.7147764716283</v>
      </c>
      <c r="K53" s="23">
        <f t="shared" si="22"/>
        <v>3378.193842094377</v>
      </c>
      <c r="L53" s="23">
        <f t="shared" si="22"/>
        <v>2988.6361166560209</v>
      </c>
      <c r="M53" s="23">
        <f t="shared" si="22"/>
        <v>2611.8715549242761</v>
      </c>
      <c r="N53" s="23">
        <f t="shared" si="22"/>
        <v>2257.1336461532874</v>
      </c>
      <c r="O53" s="23">
        <f t="shared" si="22"/>
        <v>1930.8661494147898</v>
      </c>
      <c r="P53" s="23">
        <f t="shared" si="22"/>
        <v>1636.790599306602</v>
      </c>
      <c r="Q53" s="23">
        <f t="shared" si="22"/>
        <v>1376.1858623326709</v>
      </c>
      <c r="R53" s="23">
        <f t="shared" si="22"/>
        <v>1148.3144262417472</v>
      </c>
    </row>
    <row r="54" spans="1:18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 spans="1:18" x14ac:dyDescent="0.3">
      <c r="A55" t="s">
        <v>116</v>
      </c>
      <c r="C55" s="19">
        <f>C35</f>
        <v>140.25000000000003</v>
      </c>
      <c r="D55" s="19">
        <f t="shared" ref="D55:R55" si="23">D35</f>
        <v>172.65600000000003</v>
      </c>
      <c r="E55" s="19">
        <f t="shared" si="23"/>
        <v>213.32817000000003</v>
      </c>
      <c r="F55" s="19">
        <f t="shared" si="23"/>
        <v>261.68477516280001</v>
      </c>
      <c r="G55" s="19">
        <f t="shared" si="23"/>
        <v>312.28702650926465</v>
      </c>
      <c r="H55" s="19">
        <f t="shared" si="23"/>
        <v>366.56155907046718</v>
      </c>
      <c r="I55" s="19">
        <f t="shared" si="23"/>
        <v>422.76936560821542</v>
      </c>
      <c r="J55" s="19">
        <f t="shared" si="23"/>
        <v>479.1434297002416</v>
      </c>
      <c r="K55" s="19">
        <f t="shared" si="23"/>
        <v>534.00431634622566</v>
      </c>
      <c r="L55" s="19">
        <f t="shared" si="23"/>
        <v>585.85930345358031</v>
      </c>
      <c r="M55" s="19">
        <f t="shared" si="23"/>
        <v>633.47680245454922</v>
      </c>
      <c r="N55" s="19">
        <f t="shared" si="23"/>
        <v>675.93138335072433</v>
      </c>
      <c r="O55" s="19">
        <f t="shared" si="23"/>
        <v>712.6185764717078</v>
      </c>
      <c r="P55" s="19">
        <f t="shared" si="23"/>
        <v>743.24217396299548</v>
      </c>
      <c r="Q55" s="19">
        <f t="shared" si="23"/>
        <v>781.57195365940504</v>
      </c>
      <c r="R55" s="19">
        <f t="shared" si="23"/>
        <v>816.81571555743449</v>
      </c>
    </row>
    <row r="56" spans="1:18" x14ac:dyDescent="0.3">
      <c r="A56" t="s">
        <v>117</v>
      </c>
      <c r="C56" s="19">
        <f>C37</f>
        <v>216.48000000000002</v>
      </c>
      <c r="D56" s="19">
        <f t="shared" ref="D56:R56" si="24">D37</f>
        <v>270.83760000000001</v>
      </c>
      <c r="E56" s="19">
        <f t="shared" si="24"/>
        <v>320.53432118400002</v>
      </c>
      <c r="F56" s="19">
        <f t="shared" si="24"/>
        <v>364.80741573867357</v>
      </c>
      <c r="G56" s="19">
        <f t="shared" si="24"/>
        <v>402.42105673919332</v>
      </c>
      <c r="H56" s="19">
        <f t="shared" si="24"/>
        <v>429.99151867848758</v>
      </c>
      <c r="I56" s="19">
        <f t="shared" si="24"/>
        <v>446.72479437399892</v>
      </c>
      <c r="J56" s="19">
        <f t="shared" si="24"/>
        <v>452.55632155556691</v>
      </c>
      <c r="K56" s="19">
        <f t="shared" si="24"/>
        <v>448.10056996092027</v>
      </c>
      <c r="L56" s="19">
        <f t="shared" si="24"/>
        <v>434.53749100706278</v>
      </c>
      <c r="M56" s="19">
        <f t="shared" si="24"/>
        <v>413.45361677965116</v>
      </c>
      <c r="N56" s="19">
        <f t="shared" si="24"/>
        <v>386.66020476468577</v>
      </c>
      <c r="O56" s="19">
        <f t="shared" si="24"/>
        <v>356.01176654807881</v>
      </c>
      <c r="P56" s="19">
        <f t="shared" si="24"/>
        <v>323.24571974483234</v>
      </c>
      <c r="Q56" s="19">
        <f t="shared" si="24"/>
        <v>289.85852127796028</v>
      </c>
      <c r="R56" s="19">
        <f t="shared" si="24"/>
        <v>257.02666798152137</v>
      </c>
    </row>
    <row r="57" spans="1:18" x14ac:dyDescent="0.3">
      <c r="A57" t="s">
        <v>81</v>
      </c>
      <c r="C57" s="19">
        <f>C38</f>
        <v>19.2</v>
      </c>
      <c r="D57" s="19">
        <f t="shared" ref="D57:R57" si="25">D38</f>
        <v>24.960000000000004</v>
      </c>
      <c r="E57" s="19">
        <f t="shared" si="25"/>
        <v>31.150080000000003</v>
      </c>
      <c r="F57" s="19">
        <f t="shared" si="25"/>
        <v>37.795430400000008</v>
      </c>
      <c r="G57" s="19">
        <f t="shared" si="25"/>
        <v>44.922568704000007</v>
      </c>
      <c r="H57" s="19">
        <f t="shared" si="25"/>
        <v>52.559405383680016</v>
      </c>
      <c r="I57" s="19">
        <f t="shared" si="25"/>
        <v>60.735312887808007</v>
      </c>
      <c r="J57" s="19">
        <f t="shared" si="25"/>
        <v>69.481197943652361</v>
      </c>
      <c r="K57" s="19">
        <f t="shared" si="25"/>
        <v>78.829577303343783</v>
      </c>
      <c r="L57" s="19">
        <f t="shared" si="25"/>
        <v>88.814657095100657</v>
      </c>
      <c r="M57" s="19">
        <f t="shared" si="25"/>
        <v>99.47241594651274</v>
      </c>
      <c r="N57" s="19">
        <f t="shared" si="25"/>
        <v>110.84069205468562</v>
      </c>
      <c r="O57" s="19">
        <f t="shared" si="25"/>
        <v>122.95927438599796</v>
      </c>
      <c r="P57" s="19">
        <f t="shared" si="25"/>
        <v>135.86999819652775</v>
      </c>
      <c r="Q57" s="19">
        <f t="shared" si="25"/>
        <v>149.61684507288234</v>
      </c>
      <c r="R57" s="19">
        <f t="shared" si="25"/>
        <v>164.24604770223081</v>
      </c>
    </row>
    <row r="58" spans="1:18" x14ac:dyDescent="0.3">
      <c r="A58" s="21" t="s">
        <v>82</v>
      </c>
      <c r="B58" s="22"/>
      <c r="C58" s="23">
        <f>C55+C56+C57</f>
        <v>375.93</v>
      </c>
      <c r="D58" s="23">
        <f t="shared" ref="D58:R58" si="26">D55+D56+D57</f>
        <v>468.45359999999999</v>
      </c>
      <c r="E58" s="23">
        <f t="shared" si="26"/>
        <v>565.01257118400008</v>
      </c>
      <c r="F58" s="23">
        <f t="shared" si="26"/>
        <v>664.28762130147356</v>
      </c>
      <c r="G58" s="23">
        <f t="shared" si="26"/>
        <v>759.63065195245804</v>
      </c>
      <c r="H58" s="23">
        <f t="shared" si="26"/>
        <v>849.11248313263479</v>
      </c>
      <c r="I58" s="23">
        <f t="shared" si="26"/>
        <v>930.22947287002239</v>
      </c>
      <c r="J58" s="23">
        <f t="shared" si="26"/>
        <v>1001.1809491994608</v>
      </c>
      <c r="K58" s="23">
        <f t="shared" si="26"/>
        <v>1060.9344636104897</v>
      </c>
      <c r="L58" s="23">
        <f t="shared" si="26"/>
        <v>1109.2114515557439</v>
      </c>
      <c r="M58" s="23">
        <f t="shared" si="26"/>
        <v>1146.4028351807131</v>
      </c>
      <c r="N58" s="23">
        <f t="shared" si="26"/>
        <v>1173.4322801700957</v>
      </c>
      <c r="O58" s="23">
        <f t="shared" si="26"/>
        <v>1191.5896174057846</v>
      </c>
      <c r="P58" s="23">
        <f t="shared" si="26"/>
        <v>1202.3578919043557</v>
      </c>
      <c r="Q58" s="23">
        <f t="shared" si="26"/>
        <v>1221.0473200102476</v>
      </c>
      <c r="R58" s="23">
        <f t="shared" si="26"/>
        <v>1238.0884312411865</v>
      </c>
    </row>
    <row r="59" spans="1:18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spans="1:18" x14ac:dyDescent="0.3">
      <c r="A60" t="s">
        <v>118</v>
      </c>
      <c r="C60" s="19">
        <f>C44</f>
        <v>1.3199999999999998</v>
      </c>
      <c r="D60" s="19">
        <f t="shared" ref="D60:R60" si="27">D44</f>
        <v>1.6835279999999999</v>
      </c>
      <c r="E60" s="19">
        <f t="shared" si="27"/>
        <v>2.1574470720000001</v>
      </c>
      <c r="F60" s="19">
        <f t="shared" si="27"/>
        <v>2.7453217629024</v>
      </c>
      <c r="G60" s="19">
        <f t="shared" si="27"/>
        <v>3.4527670941028634</v>
      </c>
      <c r="H60" s="19">
        <f t="shared" si="27"/>
        <v>4.9442779784565154</v>
      </c>
      <c r="I60" s="19">
        <f t="shared" si="27"/>
        <v>7.2102099359764571</v>
      </c>
      <c r="J60" s="19">
        <f t="shared" si="27"/>
        <v>10.227226843957681</v>
      </c>
      <c r="K60" s="19">
        <f t="shared" si="27"/>
        <v>13.962900147869487</v>
      </c>
      <c r="L60" s="19">
        <f t="shared" si="27"/>
        <v>18.380536367590231</v>
      </c>
      <c r="M60" s="19">
        <f t="shared" si="27"/>
        <v>23.443721611315141</v>
      </c>
      <c r="N60" s="19">
        <f t="shared" si="27"/>
        <v>29.120154310288381</v>
      </c>
      <c r="O60" s="19">
        <f t="shared" si="27"/>
        <v>35.38446929777291</v>
      </c>
      <c r="P60" s="19">
        <f t="shared" si="27"/>
        <v>42.219913543133003</v>
      </c>
      <c r="Q60" s="19">
        <f t="shared" si="27"/>
        <v>49.618890148170152</v>
      </c>
      <c r="R60" s="19">
        <f t="shared" si="27"/>
        <v>57.279085534145878</v>
      </c>
    </row>
    <row r="61" spans="1:18" x14ac:dyDescent="0.3">
      <c r="A61" t="s">
        <v>119</v>
      </c>
      <c r="C61" s="19">
        <f>C45</f>
        <v>16.236000000000001</v>
      </c>
      <c r="D61" s="19">
        <f t="shared" ref="D61:R61" si="28">D45</f>
        <v>16.250256</v>
      </c>
      <c r="E61" s="19">
        <f t="shared" si="28"/>
        <v>16.026716059200002</v>
      </c>
      <c r="F61" s="19">
        <f t="shared" si="28"/>
        <v>15.634603531657438</v>
      </c>
      <c r="G61" s="19">
        <f t="shared" si="28"/>
        <v>40.242105673919333</v>
      </c>
      <c r="H61" s="19">
        <f t="shared" si="28"/>
        <v>62.109886031337105</v>
      </c>
      <c r="I61" s="19">
        <f t="shared" si="28"/>
        <v>80.410462987319832</v>
      </c>
      <c r="J61" s="19">
        <f t="shared" si="28"/>
        <v>94.625412688891288</v>
      </c>
      <c r="K61" s="19">
        <f t="shared" si="28"/>
        <v>104.5567996575481</v>
      </c>
      <c r="L61" s="19">
        <f t="shared" si="28"/>
        <v>110.30567079410058</v>
      </c>
      <c r="M61" s="19">
        <f t="shared" si="28"/>
        <v>112.22312455447674</v>
      </c>
      <c r="N61" s="19">
        <f t="shared" si="28"/>
        <v>110.84259203254325</v>
      </c>
      <c r="O61" s="19">
        <f t="shared" si="28"/>
        <v>106.80352996442363</v>
      </c>
      <c r="P61" s="19">
        <f t="shared" si="28"/>
        <v>100.77660674397713</v>
      </c>
      <c r="Q61" s="19">
        <f t="shared" si="28"/>
        <v>93.398856856231617</v>
      </c>
      <c r="R61" s="19">
        <f t="shared" si="28"/>
        <v>85.224632014925461</v>
      </c>
    </row>
    <row r="62" spans="1:18" x14ac:dyDescent="0.3">
      <c r="A62" t="s">
        <v>120</v>
      </c>
      <c r="C62" s="19">
        <f>C46</f>
        <v>0</v>
      </c>
      <c r="D62" s="19">
        <f t="shared" ref="D62:R62" si="29">D46</f>
        <v>0</v>
      </c>
      <c r="E62" s="19">
        <f t="shared" si="29"/>
        <v>0</v>
      </c>
      <c r="F62" s="19">
        <f t="shared" si="29"/>
        <v>0</v>
      </c>
      <c r="G62" s="19">
        <f t="shared" si="29"/>
        <v>4.7556399976030148</v>
      </c>
      <c r="H62" s="19">
        <f t="shared" si="29"/>
        <v>11.336955435169088</v>
      </c>
      <c r="I62" s="19">
        <f t="shared" si="29"/>
        <v>19.921069583633187</v>
      </c>
      <c r="J62" s="19">
        <f t="shared" si="29"/>
        <v>30.583623172355846</v>
      </c>
      <c r="K62" s="19">
        <f t="shared" si="29"/>
        <v>43.29764727131559</v>
      </c>
      <c r="L62" s="19">
        <f t="shared" si="29"/>
        <v>57.94212891299145</v>
      </c>
      <c r="M62" s="19">
        <f t="shared" si="29"/>
        <v>74.31850755053371</v>
      </c>
      <c r="N62" s="19">
        <f t="shared" si="29"/>
        <v>92.172461366007852</v>
      </c>
      <c r="O62" s="19">
        <f t="shared" si="29"/>
        <v>111.21792811986191</v>
      </c>
      <c r="P62" s="19">
        <f t="shared" si="29"/>
        <v>131.16038364052861</v>
      </c>
      <c r="Q62" s="19">
        <f t="shared" si="29"/>
        <v>137.92446241048324</v>
      </c>
      <c r="R62" s="19">
        <f t="shared" si="29"/>
        <v>144.14394980425314</v>
      </c>
    </row>
    <row r="63" spans="1:18" x14ac:dyDescent="0.3">
      <c r="A63" t="s">
        <v>86</v>
      </c>
      <c r="C63" s="19">
        <f>C47</f>
        <v>0.28799999999999998</v>
      </c>
      <c r="D63" s="19">
        <f t="shared" ref="D63:R63" si="30">D47</f>
        <v>5.2915200000000002</v>
      </c>
      <c r="E63" s="19">
        <f t="shared" si="30"/>
        <v>10.694860800000001</v>
      </c>
      <c r="F63" s="19">
        <f t="shared" si="30"/>
        <v>16.522002432000004</v>
      </c>
      <c r="G63" s="19">
        <f t="shared" si="30"/>
        <v>22.798203617280006</v>
      </c>
      <c r="H63" s="19">
        <f t="shared" si="30"/>
        <v>29.550065693491213</v>
      </c>
      <c r="I63" s="19">
        <f t="shared" si="30"/>
        <v>36.805599610011662</v>
      </c>
      <c r="J63" s="19">
        <f t="shared" si="30"/>
        <v>44.594296134744162</v>
      </c>
      <c r="K63" s="19">
        <f t="shared" si="30"/>
        <v>52.947199422079251</v>
      </c>
      <c r="L63" s="19">
        <f t="shared" si="30"/>
        <v>61.896984098585548</v>
      </c>
      <c r="M63" s="19">
        <f t="shared" si="30"/>
        <v>71.478036030137019</v>
      </c>
      <c r="N63" s="19">
        <f t="shared" si="30"/>
        <v>81.726536941654857</v>
      </c>
      <c r="O63" s="19">
        <f t="shared" si="30"/>
        <v>92.680553068445946</v>
      </c>
      <c r="P63" s="19">
        <f t="shared" si="30"/>
        <v>104.38012802627367</v>
      </c>
      <c r="Q63" s="19">
        <f t="shared" si="30"/>
        <v>116.86738009581808</v>
      </c>
      <c r="R63" s="19">
        <f t="shared" si="30"/>
        <v>130.18660412608401</v>
      </c>
    </row>
    <row r="64" spans="1:18" x14ac:dyDescent="0.3">
      <c r="A64" s="21" t="s">
        <v>87</v>
      </c>
      <c r="B64" s="22"/>
      <c r="C64" s="23">
        <f>C60+C61+C62+C63</f>
        <v>17.844000000000001</v>
      </c>
      <c r="D64" s="23">
        <f t="shared" ref="D64:R64" si="31">D60+D61+D62+D63</f>
        <v>23.225304000000001</v>
      </c>
      <c r="E64" s="23">
        <f t="shared" si="31"/>
        <v>28.879023931200003</v>
      </c>
      <c r="F64" s="23">
        <f t="shared" si="31"/>
        <v>34.901927726559848</v>
      </c>
      <c r="G64" s="23">
        <f t="shared" si="31"/>
        <v>71.248716382905215</v>
      </c>
      <c r="H64" s="23">
        <f t="shared" si="31"/>
        <v>107.94118513845393</v>
      </c>
      <c r="I64" s="23">
        <f t="shared" si="31"/>
        <v>144.34734211694112</v>
      </c>
      <c r="J64" s="23">
        <f t="shared" si="31"/>
        <v>180.03055883994898</v>
      </c>
      <c r="K64" s="23">
        <f t="shared" si="31"/>
        <v>214.76454649881242</v>
      </c>
      <c r="L64" s="23">
        <f t="shared" si="31"/>
        <v>248.5253201732678</v>
      </c>
      <c r="M64" s="23">
        <f t="shared" si="31"/>
        <v>281.46338974646255</v>
      </c>
      <c r="N64" s="23">
        <f t="shared" si="31"/>
        <v>313.8617446504943</v>
      </c>
      <c r="O64" s="23">
        <f t="shared" si="31"/>
        <v>346.08648045050438</v>
      </c>
      <c r="P64" s="23">
        <f t="shared" si="31"/>
        <v>378.53703195391239</v>
      </c>
      <c r="Q64" s="23">
        <f t="shared" si="31"/>
        <v>397.80958951070312</v>
      </c>
      <c r="R64" s="23">
        <f t="shared" si="31"/>
        <v>416.83427147940847</v>
      </c>
    </row>
    <row r="65" spans="1:18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1:18" ht="15" thickBot="1" x14ac:dyDescent="0.35">
      <c r="A66" s="24" t="s">
        <v>88</v>
      </c>
      <c r="B66" s="25"/>
      <c r="C66" s="26">
        <f>C53+C58+C64</f>
        <v>5810.0940000000001</v>
      </c>
      <c r="D66" s="26">
        <f t="shared" ref="D66:R66" si="32">D53+D58+D64</f>
        <v>5840.6915279999994</v>
      </c>
      <c r="E66" s="26">
        <f t="shared" si="32"/>
        <v>5817.3083034720003</v>
      </c>
      <c r="F66" s="26">
        <f t="shared" si="32"/>
        <v>5745.9319674781818</v>
      </c>
      <c r="G66" s="26">
        <f t="shared" si="32"/>
        <v>5631.5246972408877</v>
      </c>
      <c r="H66" s="26">
        <f t="shared" si="32"/>
        <v>5452.5230299321784</v>
      </c>
      <c r="I66" s="26">
        <f t="shared" si="32"/>
        <v>5220.8251533068551</v>
      </c>
      <c r="J66" s="26">
        <f t="shared" si="32"/>
        <v>4949.9262845110379</v>
      </c>
      <c r="K66" s="26">
        <f t="shared" si="32"/>
        <v>4653.8928522036795</v>
      </c>
      <c r="L66" s="26">
        <f t="shared" si="32"/>
        <v>4346.3728883850326</v>
      </c>
      <c r="M66" s="26">
        <f t="shared" si="32"/>
        <v>4039.7377798514517</v>
      </c>
      <c r="N66" s="26">
        <f t="shared" si="32"/>
        <v>3744.427670973877</v>
      </c>
      <c r="O66" s="26">
        <f t="shared" si="32"/>
        <v>3468.5422472710788</v>
      </c>
      <c r="P66" s="26">
        <f t="shared" si="32"/>
        <v>3217.6855231648701</v>
      </c>
      <c r="Q66" s="26">
        <f t="shared" si="32"/>
        <v>2995.0427718536216</v>
      </c>
      <c r="R66" s="26">
        <f t="shared" si="32"/>
        <v>2803.237128962342</v>
      </c>
    </row>
    <row r="67" spans="1:18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7258-14A3-43BB-9476-A3D4C3D879B5}">
  <sheetPr>
    <tabColor rgb="FFFF8C00"/>
  </sheetPr>
  <dimension ref="A1:R47"/>
  <sheetViews>
    <sheetView topLeftCell="C4" workbookViewId="0"/>
  </sheetViews>
  <sheetFormatPr defaultRowHeight="14.4" x14ac:dyDescent="0.3"/>
  <cols>
    <col min="1" max="1" width="33.77734375" customWidth="1"/>
    <col min="3" max="18" width="15.6640625" customWidth="1"/>
  </cols>
  <sheetData>
    <row r="1" spans="1:18" ht="18" x14ac:dyDescent="0.35">
      <c r="A1" s="17" t="s">
        <v>121</v>
      </c>
    </row>
    <row r="3" spans="1:18" x14ac:dyDescent="0.3">
      <c r="A3" s="2" t="s">
        <v>44</v>
      </c>
      <c r="C3" s="18">
        <v>2010</v>
      </c>
      <c r="D3" s="18">
        <v>2011</v>
      </c>
      <c r="E3" s="18">
        <v>2012</v>
      </c>
      <c r="F3" s="18">
        <v>2013</v>
      </c>
      <c r="G3" s="18">
        <v>2014</v>
      </c>
      <c r="H3" s="18">
        <v>2015</v>
      </c>
      <c r="I3" s="18">
        <v>2016</v>
      </c>
      <c r="J3" s="18">
        <v>2017</v>
      </c>
      <c r="K3" s="18">
        <v>2018</v>
      </c>
      <c r="L3" s="18">
        <v>2019</v>
      </c>
      <c r="M3" s="18">
        <v>2020</v>
      </c>
      <c r="N3" s="18">
        <v>2021</v>
      </c>
      <c r="O3" s="18">
        <v>2022</v>
      </c>
      <c r="P3" s="18">
        <v>2023</v>
      </c>
      <c r="Q3" s="18">
        <v>2024</v>
      </c>
      <c r="R3" s="18">
        <v>2025</v>
      </c>
    </row>
    <row r="5" spans="1:18" x14ac:dyDescent="0.3">
      <c r="A5" s="3" t="s">
        <v>122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t="s">
        <v>46</v>
      </c>
      <c r="C6" s="19">
        <f>Assumptions!D54</f>
        <v>2300</v>
      </c>
      <c r="D6" s="19">
        <f>Assumptions!E54</f>
        <v>2250</v>
      </c>
      <c r="E6" s="19">
        <f>Assumptions!F54</f>
        <v>2150</v>
      </c>
      <c r="F6" s="19">
        <f>MAX(E6-100,0)</f>
        <v>2050</v>
      </c>
      <c r="G6" s="19">
        <f t="shared" ref="G6:R6" si="0">MAX(F6-100,0)</f>
        <v>1950</v>
      </c>
      <c r="H6" s="19">
        <f t="shared" si="0"/>
        <v>1850</v>
      </c>
      <c r="I6" s="19">
        <f t="shared" si="0"/>
        <v>1750</v>
      </c>
      <c r="J6" s="19">
        <f t="shared" si="0"/>
        <v>1650</v>
      </c>
      <c r="K6" s="19">
        <f t="shared" si="0"/>
        <v>1550</v>
      </c>
      <c r="L6" s="19">
        <f t="shared" si="0"/>
        <v>1450</v>
      </c>
      <c r="M6" s="19">
        <f t="shared" si="0"/>
        <v>1350</v>
      </c>
      <c r="N6" s="19">
        <f t="shared" si="0"/>
        <v>1250</v>
      </c>
      <c r="O6" s="19">
        <f t="shared" si="0"/>
        <v>1150</v>
      </c>
      <c r="P6" s="19">
        <f t="shared" si="0"/>
        <v>1050</v>
      </c>
      <c r="Q6" s="19">
        <f t="shared" si="0"/>
        <v>950</v>
      </c>
      <c r="R6" s="19">
        <f t="shared" si="0"/>
        <v>850</v>
      </c>
    </row>
    <row r="7" spans="1:18" x14ac:dyDescent="0.3">
      <c r="A7" t="s">
        <v>47</v>
      </c>
      <c r="C7" s="19">
        <f>Assumptions!D55</f>
        <v>2200</v>
      </c>
      <c r="D7" s="19">
        <f>Assumptions!E55</f>
        <v>1800</v>
      </c>
      <c r="E7" s="19">
        <f>Assumptions!F55</f>
        <v>1500</v>
      </c>
      <c r="F7" s="19">
        <f>MAX(E7-200,0)</f>
        <v>1300</v>
      </c>
      <c r="G7" s="19">
        <f t="shared" ref="G7:R7" si="1">MAX(F7-200,0)</f>
        <v>1100</v>
      </c>
      <c r="H7" s="19">
        <f t="shared" si="1"/>
        <v>900</v>
      </c>
      <c r="I7" s="19">
        <f t="shared" si="1"/>
        <v>700</v>
      </c>
      <c r="J7" s="19">
        <f t="shared" si="1"/>
        <v>500</v>
      </c>
      <c r="K7" s="19">
        <f t="shared" si="1"/>
        <v>300</v>
      </c>
      <c r="L7" s="19">
        <f t="shared" si="1"/>
        <v>100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19">
        <f t="shared" si="1"/>
        <v>0</v>
      </c>
      <c r="R7" s="19">
        <f t="shared" si="1"/>
        <v>0</v>
      </c>
    </row>
    <row r="8" spans="1:18" x14ac:dyDescent="0.3">
      <c r="A8" t="s">
        <v>48</v>
      </c>
      <c r="C8" s="19">
        <f>Assumptions!D56</f>
        <v>2700</v>
      </c>
      <c r="D8" s="19">
        <f>Assumptions!E56</f>
        <v>2600</v>
      </c>
      <c r="E8" s="19">
        <f>Assumptions!F56</f>
        <v>2300</v>
      </c>
      <c r="F8" s="19">
        <f>MAX(E8-150,0)</f>
        <v>2150</v>
      </c>
      <c r="G8" s="19">
        <f t="shared" ref="G8:R8" si="2">MAX(F8-150,0)</f>
        <v>2000</v>
      </c>
      <c r="H8" s="19">
        <f t="shared" si="2"/>
        <v>1850</v>
      </c>
      <c r="I8" s="19">
        <f t="shared" si="2"/>
        <v>1700</v>
      </c>
      <c r="J8" s="19">
        <f t="shared" si="2"/>
        <v>1550</v>
      </c>
      <c r="K8" s="19">
        <f t="shared" si="2"/>
        <v>1400</v>
      </c>
      <c r="L8" s="19">
        <f t="shared" si="2"/>
        <v>1250</v>
      </c>
      <c r="M8" s="19">
        <f t="shared" si="2"/>
        <v>1100</v>
      </c>
      <c r="N8" s="19">
        <f t="shared" si="2"/>
        <v>950</v>
      </c>
      <c r="O8" s="19">
        <f t="shared" si="2"/>
        <v>800</v>
      </c>
      <c r="P8" s="19">
        <f t="shared" si="2"/>
        <v>650</v>
      </c>
      <c r="Q8" s="19">
        <f t="shared" si="2"/>
        <v>500</v>
      </c>
      <c r="R8" s="19">
        <f t="shared" si="2"/>
        <v>350</v>
      </c>
    </row>
    <row r="9" spans="1:18" x14ac:dyDescent="0.3">
      <c r="A9" t="s">
        <v>49</v>
      </c>
      <c r="C9" s="19">
        <f>Assumptions!D57</f>
        <v>2000</v>
      </c>
      <c r="D9" s="19">
        <f>Assumptions!E57</f>
        <v>1900</v>
      </c>
      <c r="E9" s="19">
        <f>Assumptions!F57</f>
        <v>1800</v>
      </c>
      <c r="F9" s="19">
        <f>MAX(E9-100,0)</f>
        <v>1700</v>
      </c>
      <c r="G9" s="19">
        <f t="shared" ref="G9:R9" si="3">MAX(F9-100,0)</f>
        <v>1600</v>
      </c>
      <c r="H9" s="19">
        <f t="shared" si="3"/>
        <v>1500</v>
      </c>
      <c r="I9" s="19">
        <f t="shared" si="3"/>
        <v>1400</v>
      </c>
      <c r="J9" s="19">
        <f t="shared" si="3"/>
        <v>1300</v>
      </c>
      <c r="K9" s="19">
        <f t="shared" si="3"/>
        <v>1200</v>
      </c>
      <c r="L9" s="19">
        <f t="shared" si="3"/>
        <v>1100</v>
      </c>
      <c r="M9" s="19">
        <f t="shared" si="3"/>
        <v>1000</v>
      </c>
      <c r="N9" s="19">
        <f t="shared" si="3"/>
        <v>900</v>
      </c>
      <c r="O9" s="19">
        <f t="shared" si="3"/>
        <v>800</v>
      </c>
      <c r="P9" s="19">
        <f t="shared" si="3"/>
        <v>700</v>
      </c>
      <c r="Q9" s="19">
        <f t="shared" si="3"/>
        <v>600</v>
      </c>
      <c r="R9" s="19">
        <f t="shared" si="3"/>
        <v>500</v>
      </c>
    </row>
    <row r="10" spans="1:18" x14ac:dyDescent="0.3">
      <c r="A10" s="2" t="s">
        <v>123</v>
      </c>
      <c r="C10" s="19">
        <f>SUM(C6:C9)</f>
        <v>9200</v>
      </c>
      <c r="D10" s="19">
        <f t="shared" ref="D10:R10" si="4">SUM(D6:D9)</f>
        <v>8550</v>
      </c>
      <c r="E10" s="19">
        <f t="shared" si="4"/>
        <v>7750</v>
      </c>
      <c r="F10" s="19">
        <f t="shared" si="4"/>
        <v>7200</v>
      </c>
      <c r="G10" s="19">
        <f t="shared" si="4"/>
        <v>6650</v>
      </c>
      <c r="H10" s="19">
        <f t="shared" si="4"/>
        <v>6100</v>
      </c>
      <c r="I10" s="19">
        <f t="shared" si="4"/>
        <v>5550</v>
      </c>
      <c r="J10" s="19">
        <f t="shared" si="4"/>
        <v>5000</v>
      </c>
      <c r="K10" s="19">
        <f t="shared" si="4"/>
        <v>4450</v>
      </c>
      <c r="L10" s="19">
        <f t="shared" si="4"/>
        <v>3900</v>
      </c>
      <c r="M10" s="19">
        <f t="shared" si="4"/>
        <v>3450</v>
      </c>
      <c r="N10" s="19">
        <f t="shared" si="4"/>
        <v>3100</v>
      </c>
      <c r="O10" s="19">
        <f t="shared" si="4"/>
        <v>2750</v>
      </c>
      <c r="P10" s="19">
        <f t="shared" si="4"/>
        <v>2400</v>
      </c>
      <c r="Q10" s="19">
        <f t="shared" si="4"/>
        <v>2050</v>
      </c>
      <c r="R10" s="19">
        <f t="shared" si="4"/>
        <v>1700</v>
      </c>
    </row>
    <row r="12" spans="1:18" x14ac:dyDescent="0.3">
      <c r="A12" s="3" t="s">
        <v>124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t="s">
        <v>46</v>
      </c>
      <c r="C13" s="19">
        <f>Assumptions!D60</f>
        <v>300</v>
      </c>
      <c r="D13" s="19">
        <f>Assumptions!E60</f>
        <v>500</v>
      </c>
      <c r="E13" s="19">
        <f>Assumptions!F60</f>
        <v>700</v>
      </c>
      <c r="F13" s="19">
        <f>E13+100</f>
        <v>800</v>
      </c>
      <c r="G13" s="19">
        <f t="shared" ref="G13:R13" si="5">F13+100</f>
        <v>900</v>
      </c>
      <c r="H13" s="19">
        <f t="shared" si="5"/>
        <v>1000</v>
      </c>
      <c r="I13" s="19">
        <f t="shared" si="5"/>
        <v>1100</v>
      </c>
      <c r="J13" s="19">
        <f t="shared" si="5"/>
        <v>1200</v>
      </c>
      <c r="K13" s="19">
        <f t="shared" si="5"/>
        <v>1300</v>
      </c>
      <c r="L13" s="19">
        <f t="shared" si="5"/>
        <v>1400</v>
      </c>
      <c r="M13" s="19">
        <f t="shared" si="5"/>
        <v>1500</v>
      </c>
      <c r="N13" s="19">
        <f t="shared" si="5"/>
        <v>1600</v>
      </c>
      <c r="O13" s="19">
        <f t="shared" si="5"/>
        <v>1700</v>
      </c>
      <c r="P13" s="19">
        <f t="shared" si="5"/>
        <v>1800</v>
      </c>
      <c r="Q13" s="19">
        <f t="shared" si="5"/>
        <v>1900</v>
      </c>
      <c r="R13" s="19">
        <f t="shared" si="5"/>
        <v>2000</v>
      </c>
    </row>
    <row r="14" spans="1:18" x14ac:dyDescent="0.3">
      <c r="A14" t="s">
        <v>47</v>
      </c>
      <c r="C14" s="19">
        <f>Assumptions!D61</f>
        <v>180</v>
      </c>
      <c r="D14" s="19">
        <f>Assumptions!E61</f>
        <v>220</v>
      </c>
      <c r="E14" s="19">
        <f>Assumptions!F61</f>
        <v>400</v>
      </c>
      <c r="F14" s="19">
        <f>E14+80</f>
        <v>480</v>
      </c>
      <c r="G14" s="19">
        <f t="shared" ref="G14:R14" si="6">F14+80</f>
        <v>560</v>
      </c>
      <c r="H14" s="19">
        <f t="shared" si="6"/>
        <v>640</v>
      </c>
      <c r="I14" s="19">
        <f t="shared" si="6"/>
        <v>720</v>
      </c>
      <c r="J14" s="19">
        <f t="shared" si="6"/>
        <v>800</v>
      </c>
      <c r="K14" s="19">
        <f t="shared" si="6"/>
        <v>880</v>
      </c>
      <c r="L14" s="19">
        <f t="shared" si="6"/>
        <v>960</v>
      </c>
      <c r="M14" s="19">
        <f t="shared" si="6"/>
        <v>1040</v>
      </c>
      <c r="N14" s="19">
        <f t="shared" si="6"/>
        <v>1120</v>
      </c>
      <c r="O14" s="19">
        <f t="shared" si="6"/>
        <v>1200</v>
      </c>
      <c r="P14" s="19">
        <f t="shared" si="6"/>
        <v>1280</v>
      </c>
      <c r="Q14" s="19">
        <f t="shared" si="6"/>
        <v>1360</v>
      </c>
      <c r="R14" s="19">
        <f t="shared" si="6"/>
        <v>1440</v>
      </c>
    </row>
    <row r="15" spans="1:18" x14ac:dyDescent="0.3">
      <c r="A15" t="s">
        <v>48</v>
      </c>
      <c r="C15" s="19">
        <f>Assumptions!D62</f>
        <v>360</v>
      </c>
      <c r="D15" s="19">
        <f>Assumptions!E62</f>
        <v>450</v>
      </c>
      <c r="E15" s="19">
        <f>Assumptions!F62</f>
        <v>650</v>
      </c>
      <c r="F15" s="19">
        <f>E15+100</f>
        <v>750</v>
      </c>
      <c r="G15" s="19">
        <f t="shared" ref="G15:R15" si="7">F15+100</f>
        <v>850</v>
      </c>
      <c r="H15" s="19">
        <f t="shared" si="7"/>
        <v>950</v>
      </c>
      <c r="I15" s="19">
        <f t="shared" si="7"/>
        <v>1050</v>
      </c>
      <c r="J15" s="19">
        <f t="shared" si="7"/>
        <v>1150</v>
      </c>
      <c r="K15" s="19">
        <f t="shared" si="7"/>
        <v>1250</v>
      </c>
      <c r="L15" s="19">
        <f t="shared" si="7"/>
        <v>1350</v>
      </c>
      <c r="M15" s="19">
        <f t="shared" si="7"/>
        <v>1450</v>
      </c>
      <c r="N15" s="19">
        <f t="shared" si="7"/>
        <v>1550</v>
      </c>
      <c r="O15" s="19">
        <f t="shared" si="7"/>
        <v>1650</v>
      </c>
      <c r="P15" s="19">
        <f t="shared" si="7"/>
        <v>1750</v>
      </c>
      <c r="Q15" s="19">
        <f t="shared" si="7"/>
        <v>1850</v>
      </c>
      <c r="R15" s="19">
        <f t="shared" si="7"/>
        <v>1950</v>
      </c>
    </row>
    <row r="16" spans="1:18" x14ac:dyDescent="0.3">
      <c r="A16" t="s">
        <v>49</v>
      </c>
      <c r="C16" s="19">
        <f>Assumptions!D63</f>
        <v>120</v>
      </c>
      <c r="D16" s="19">
        <f>Assumptions!E63</f>
        <v>150</v>
      </c>
      <c r="E16" s="19">
        <f>Assumptions!F63</f>
        <v>200</v>
      </c>
      <c r="F16" s="19">
        <f>E16+50</f>
        <v>250</v>
      </c>
      <c r="G16" s="19">
        <f t="shared" ref="G16:R16" si="8">F16+50</f>
        <v>300</v>
      </c>
      <c r="H16" s="19">
        <f t="shared" si="8"/>
        <v>350</v>
      </c>
      <c r="I16" s="19">
        <f t="shared" si="8"/>
        <v>400</v>
      </c>
      <c r="J16" s="19">
        <f t="shared" si="8"/>
        <v>450</v>
      </c>
      <c r="K16" s="19">
        <f t="shared" si="8"/>
        <v>500</v>
      </c>
      <c r="L16" s="19">
        <f t="shared" si="8"/>
        <v>550</v>
      </c>
      <c r="M16" s="19">
        <f t="shared" si="8"/>
        <v>600</v>
      </c>
      <c r="N16" s="19">
        <f t="shared" si="8"/>
        <v>650</v>
      </c>
      <c r="O16" s="19">
        <f t="shared" si="8"/>
        <v>700</v>
      </c>
      <c r="P16" s="19">
        <f t="shared" si="8"/>
        <v>750</v>
      </c>
      <c r="Q16" s="19">
        <f t="shared" si="8"/>
        <v>800</v>
      </c>
      <c r="R16" s="19">
        <f t="shared" si="8"/>
        <v>850</v>
      </c>
    </row>
    <row r="17" spans="1:18" x14ac:dyDescent="0.3">
      <c r="A17" s="2" t="s">
        <v>125</v>
      </c>
      <c r="C17" s="19">
        <f>SUM(C13:C16)</f>
        <v>960</v>
      </c>
      <c r="D17" s="19">
        <f t="shared" ref="D17:R17" si="9">SUM(D13:D16)</f>
        <v>1320</v>
      </c>
      <c r="E17" s="19">
        <f t="shared" si="9"/>
        <v>1950</v>
      </c>
      <c r="F17" s="19">
        <f t="shared" si="9"/>
        <v>2280</v>
      </c>
      <c r="G17" s="19">
        <f t="shared" si="9"/>
        <v>2610</v>
      </c>
      <c r="H17" s="19">
        <f t="shared" si="9"/>
        <v>2940</v>
      </c>
      <c r="I17" s="19">
        <f t="shared" si="9"/>
        <v>3270</v>
      </c>
      <c r="J17" s="19">
        <f t="shared" si="9"/>
        <v>3600</v>
      </c>
      <c r="K17" s="19">
        <f t="shared" si="9"/>
        <v>3930</v>
      </c>
      <c r="L17" s="19">
        <f t="shared" si="9"/>
        <v>4260</v>
      </c>
      <c r="M17" s="19">
        <f t="shared" si="9"/>
        <v>4590</v>
      </c>
      <c r="N17" s="19">
        <f t="shared" si="9"/>
        <v>4920</v>
      </c>
      <c r="O17" s="19">
        <f t="shared" si="9"/>
        <v>5250</v>
      </c>
      <c r="P17" s="19">
        <f t="shared" si="9"/>
        <v>5580</v>
      </c>
      <c r="Q17" s="19">
        <f t="shared" si="9"/>
        <v>5910</v>
      </c>
      <c r="R17" s="19">
        <f t="shared" si="9"/>
        <v>6240</v>
      </c>
    </row>
    <row r="19" spans="1:18" x14ac:dyDescent="0.3">
      <c r="A19" s="3" t="s">
        <v>126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3">
      <c r="A20" t="s">
        <v>46</v>
      </c>
      <c r="C20" s="19">
        <f>Assumptions!D66</f>
        <v>10</v>
      </c>
      <c r="D20" s="19">
        <f>Assumptions!E66</f>
        <v>25</v>
      </c>
      <c r="E20" s="19">
        <f>Assumptions!F66</f>
        <v>60</v>
      </c>
      <c r="F20" s="19">
        <f>E20+40</f>
        <v>100</v>
      </c>
      <c r="G20" s="19">
        <f t="shared" ref="G20:R20" si="10">F20+40</f>
        <v>140</v>
      </c>
      <c r="H20" s="19">
        <f t="shared" si="10"/>
        <v>180</v>
      </c>
      <c r="I20" s="19">
        <f t="shared" si="10"/>
        <v>220</v>
      </c>
      <c r="J20" s="19">
        <f t="shared" si="10"/>
        <v>260</v>
      </c>
      <c r="K20" s="19">
        <f t="shared" si="10"/>
        <v>300</v>
      </c>
      <c r="L20" s="19">
        <f t="shared" si="10"/>
        <v>340</v>
      </c>
      <c r="M20" s="19">
        <f t="shared" si="10"/>
        <v>380</v>
      </c>
      <c r="N20" s="19">
        <f t="shared" si="10"/>
        <v>420</v>
      </c>
      <c r="O20" s="19">
        <f t="shared" si="10"/>
        <v>460</v>
      </c>
      <c r="P20" s="19">
        <f t="shared" si="10"/>
        <v>500</v>
      </c>
      <c r="Q20" s="19">
        <f t="shared" si="10"/>
        <v>540</v>
      </c>
      <c r="R20" s="19">
        <f t="shared" si="10"/>
        <v>580</v>
      </c>
    </row>
    <row r="21" spans="1:18" x14ac:dyDescent="0.3">
      <c r="A21" t="s">
        <v>47</v>
      </c>
      <c r="C21" s="19">
        <f>Assumptions!D67</f>
        <v>10</v>
      </c>
      <c r="D21" s="19">
        <f>Assumptions!E67</f>
        <v>45</v>
      </c>
      <c r="E21" s="19">
        <f>Assumptions!F67</f>
        <v>100</v>
      </c>
      <c r="F21" s="19">
        <f>E21+50</f>
        <v>150</v>
      </c>
      <c r="G21" s="19">
        <f t="shared" ref="G21:R21" si="11">F21+50</f>
        <v>200</v>
      </c>
      <c r="H21" s="19">
        <f t="shared" si="11"/>
        <v>250</v>
      </c>
      <c r="I21" s="19">
        <f t="shared" si="11"/>
        <v>300</v>
      </c>
      <c r="J21" s="19">
        <f t="shared" si="11"/>
        <v>350</v>
      </c>
      <c r="K21" s="19">
        <f t="shared" si="11"/>
        <v>400</v>
      </c>
      <c r="L21" s="19">
        <f t="shared" si="11"/>
        <v>450</v>
      </c>
      <c r="M21" s="19">
        <f t="shared" si="11"/>
        <v>500</v>
      </c>
      <c r="N21" s="19">
        <f t="shared" si="11"/>
        <v>550</v>
      </c>
      <c r="O21" s="19">
        <f t="shared" si="11"/>
        <v>600</v>
      </c>
      <c r="P21" s="19">
        <f t="shared" si="11"/>
        <v>650</v>
      </c>
      <c r="Q21" s="19">
        <f t="shared" si="11"/>
        <v>700</v>
      </c>
      <c r="R21" s="19">
        <f t="shared" si="11"/>
        <v>750</v>
      </c>
    </row>
    <row r="22" spans="1:18" x14ac:dyDescent="0.3">
      <c r="A22" t="s">
        <v>48</v>
      </c>
      <c r="C22" s="19">
        <f>Assumptions!D68</f>
        <v>15</v>
      </c>
      <c r="D22" s="19">
        <f>Assumptions!E68</f>
        <v>35</v>
      </c>
      <c r="E22" s="19">
        <f>Assumptions!F68</f>
        <v>80</v>
      </c>
      <c r="F22" s="19">
        <f>E22+45</f>
        <v>125</v>
      </c>
      <c r="G22" s="19">
        <f t="shared" ref="G22:R22" si="12">F22+45</f>
        <v>170</v>
      </c>
      <c r="H22" s="19">
        <f t="shared" si="12"/>
        <v>215</v>
      </c>
      <c r="I22" s="19">
        <f t="shared" si="12"/>
        <v>260</v>
      </c>
      <c r="J22" s="19">
        <f t="shared" si="12"/>
        <v>305</v>
      </c>
      <c r="K22" s="19">
        <f t="shared" si="12"/>
        <v>350</v>
      </c>
      <c r="L22" s="19">
        <f t="shared" si="12"/>
        <v>395</v>
      </c>
      <c r="M22" s="19">
        <f t="shared" si="12"/>
        <v>440</v>
      </c>
      <c r="N22" s="19">
        <f t="shared" si="12"/>
        <v>485</v>
      </c>
      <c r="O22" s="19">
        <f t="shared" si="12"/>
        <v>530</v>
      </c>
      <c r="P22" s="19">
        <f t="shared" si="12"/>
        <v>575</v>
      </c>
      <c r="Q22" s="19">
        <f t="shared" si="12"/>
        <v>620</v>
      </c>
      <c r="R22" s="19">
        <f t="shared" si="12"/>
        <v>665</v>
      </c>
    </row>
    <row r="23" spans="1:18" x14ac:dyDescent="0.3">
      <c r="A23" t="s">
        <v>49</v>
      </c>
      <c r="C23" s="19">
        <f>Assumptions!D69</f>
        <v>20</v>
      </c>
      <c r="D23" s="19">
        <f>Assumptions!E69</f>
        <v>40</v>
      </c>
      <c r="E23" s="19">
        <f>Assumptions!F69</f>
        <v>60</v>
      </c>
      <c r="F23" s="19">
        <f>E23+30</f>
        <v>90</v>
      </c>
      <c r="G23" s="19">
        <f t="shared" ref="G23:R23" si="13">F23+30</f>
        <v>120</v>
      </c>
      <c r="H23" s="19">
        <f t="shared" si="13"/>
        <v>150</v>
      </c>
      <c r="I23" s="19">
        <f t="shared" si="13"/>
        <v>180</v>
      </c>
      <c r="J23" s="19">
        <f t="shared" si="13"/>
        <v>210</v>
      </c>
      <c r="K23" s="19">
        <f t="shared" si="13"/>
        <v>240</v>
      </c>
      <c r="L23" s="19">
        <f t="shared" si="13"/>
        <v>270</v>
      </c>
      <c r="M23" s="19">
        <f t="shared" si="13"/>
        <v>300</v>
      </c>
      <c r="N23" s="19">
        <f t="shared" si="13"/>
        <v>330</v>
      </c>
      <c r="O23" s="19">
        <f t="shared" si="13"/>
        <v>360</v>
      </c>
      <c r="P23" s="19">
        <f t="shared" si="13"/>
        <v>390</v>
      </c>
      <c r="Q23" s="19">
        <f t="shared" si="13"/>
        <v>420</v>
      </c>
      <c r="R23" s="19">
        <f t="shared" si="13"/>
        <v>450</v>
      </c>
    </row>
    <row r="24" spans="1:18" x14ac:dyDescent="0.3">
      <c r="A24" s="2" t="s">
        <v>127</v>
      </c>
      <c r="C24" s="19">
        <f>SUM(C20:C23)</f>
        <v>55</v>
      </c>
      <c r="D24" s="19">
        <f t="shared" ref="D24:R24" si="14">SUM(D20:D23)</f>
        <v>145</v>
      </c>
      <c r="E24" s="19">
        <f t="shared" si="14"/>
        <v>300</v>
      </c>
      <c r="F24" s="19">
        <f t="shared" si="14"/>
        <v>465</v>
      </c>
      <c r="G24" s="19">
        <f t="shared" si="14"/>
        <v>630</v>
      </c>
      <c r="H24" s="19">
        <f t="shared" si="14"/>
        <v>795</v>
      </c>
      <c r="I24" s="19">
        <f t="shared" si="14"/>
        <v>960</v>
      </c>
      <c r="J24" s="19">
        <f t="shared" si="14"/>
        <v>1125</v>
      </c>
      <c r="K24" s="19">
        <f t="shared" si="14"/>
        <v>1290</v>
      </c>
      <c r="L24" s="19">
        <f t="shared" si="14"/>
        <v>1455</v>
      </c>
      <c r="M24" s="19">
        <f t="shared" si="14"/>
        <v>1620</v>
      </c>
      <c r="N24" s="19">
        <f t="shared" si="14"/>
        <v>1785</v>
      </c>
      <c r="O24" s="19">
        <f t="shared" si="14"/>
        <v>1950</v>
      </c>
      <c r="P24" s="19">
        <f t="shared" si="14"/>
        <v>2115</v>
      </c>
      <c r="Q24" s="19">
        <f t="shared" si="14"/>
        <v>2280</v>
      </c>
      <c r="R24" s="19">
        <f t="shared" si="14"/>
        <v>2445</v>
      </c>
    </row>
    <row r="26" spans="1:18" x14ac:dyDescent="0.3">
      <c r="A26" s="3" t="s">
        <v>128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">
      <c r="A27" t="s">
        <v>129</v>
      </c>
      <c r="C27" s="19">
        <f>'Demand - Developed'!C53+'Demand - Emerging'!C53</f>
        <v>8980.9500000000007</v>
      </c>
      <c r="D27" s="19">
        <f>'Demand - Developed'!D53+'Demand - Emerging'!D53</f>
        <v>8367.8326740000011</v>
      </c>
      <c r="E27" s="19">
        <f>'Demand - Developed'!E53+'Demand - Emerging'!E53</f>
        <v>7716.2991850068011</v>
      </c>
      <c r="F27" s="19">
        <f>'Demand - Developed'!F53+'Demand - Emerging'!F53</f>
        <v>7053.360487190299</v>
      </c>
      <c r="G27" s="19">
        <f>'Demand - Developed'!G53+'Demand - Emerging'!G53</f>
        <v>6355.0075311020037</v>
      </c>
      <c r="H27" s="19">
        <f>'Demand - Developed'!H53+'Demand - Emerging'!H53</f>
        <v>5651.4215801602149</v>
      </c>
      <c r="I27" s="19">
        <f>'Demand - Developed'!I53+'Demand - Emerging'!I53</f>
        <v>4970.9408368737895</v>
      </c>
      <c r="J27" s="19">
        <f>'Demand - Developed'!J53+'Demand - Emerging'!J53</f>
        <v>4332.8016669797598</v>
      </c>
      <c r="K27" s="19">
        <f>'Demand - Developed'!K53+'Demand - Emerging'!K53</f>
        <v>3747.9109606172537</v>
      </c>
      <c r="L27" s="19">
        <f>'Demand - Developed'!L53+'Demand - Emerging'!L53</f>
        <v>3220.6114218083171</v>
      </c>
      <c r="M27" s="19">
        <f>'Demand - Developed'!M53+'Demand - Emerging'!M53</f>
        <v>2756.6684492224831</v>
      </c>
      <c r="N27" s="19">
        <f>'Demand - Developed'!N53+'Demand - Emerging'!N53</f>
        <v>2347.9063330736863</v>
      </c>
      <c r="O27" s="19">
        <f>'Demand - Developed'!O53+'Demand - Emerging'!O53</f>
        <v>1988.1167942548745</v>
      </c>
      <c r="P27" s="19">
        <f>'Demand - Developed'!P53+'Demand - Emerging'!P53</f>
        <v>1672.9622389581853</v>
      </c>
      <c r="Q27" s="19">
        <f>'Demand - Developed'!Q53+'Demand - Emerging'!Q53</f>
        <v>1398.6965985917973</v>
      </c>
      <c r="R27" s="19">
        <f>'Demand - Developed'!R53+'Demand - Emerging'!R53</f>
        <v>1161.5154404551515</v>
      </c>
    </row>
    <row r="28" spans="1:18" x14ac:dyDescent="0.3">
      <c r="A28" t="s">
        <v>130</v>
      </c>
      <c r="C28" s="19">
        <f>'Demand - Developed'!C58+'Demand - Emerging'!C58</f>
        <v>978.54750000000013</v>
      </c>
      <c r="D28" s="19">
        <f>'Demand - Developed'!D58+'Demand - Emerging'!D58</f>
        <v>1145.981745</v>
      </c>
      <c r="E28" s="19">
        <f>'Demand - Developed'!E58+'Demand - Emerging'!E58</f>
        <v>1296.2705447339999</v>
      </c>
      <c r="F28" s="19">
        <f>'Demand - Developed'!F58+'Demand - Emerging'!F58</f>
        <v>1429.2982867856736</v>
      </c>
      <c r="G28" s="19">
        <f>'Demand - Developed'!G58+'Demand - Emerging'!G58</f>
        <v>1529.9823091105923</v>
      </c>
      <c r="H28" s="19">
        <f>'Demand - Developed'!H58+'Demand - Emerging'!H58</f>
        <v>1601.7041957481458</v>
      </c>
      <c r="I28" s="19">
        <f>'Demand - Developed'!I58+'Demand - Emerging'!I58</f>
        <v>1648.1917757198416</v>
      </c>
      <c r="J28" s="19">
        <f>'Demand - Developed'!J58+'Demand - Emerging'!J58</f>
        <v>1674.2763407921148</v>
      </c>
      <c r="K28" s="19">
        <f>'Demand - Developed'!K58+'Demand - Emerging'!K58</f>
        <v>1684.8160810238078</v>
      </c>
      <c r="L28" s="19">
        <f>'Demand - Developed'!L58+'Demand - Emerging'!L58</f>
        <v>1683.953348497299</v>
      </c>
      <c r="M28" s="19">
        <f>'Demand - Developed'!M58+'Demand - Emerging'!M58</f>
        <v>1674.3625364212648</v>
      </c>
      <c r="N28" s="19">
        <f>'Demand - Developed'!N58+'Demand - Emerging'!N58</f>
        <v>1674.8219294358155</v>
      </c>
      <c r="O28" s="19">
        <f>'Demand - Developed'!O58+'Demand - Emerging'!O58</f>
        <v>1673.2075587732397</v>
      </c>
      <c r="P28" s="19">
        <f>'Demand - Developed'!P58+'Demand - Emerging'!P58</f>
        <v>1668.4961389223608</v>
      </c>
      <c r="Q28" s="19">
        <f>'Demand - Developed'!Q58+'Demand - Emerging'!Q58</f>
        <v>1674.3829737601686</v>
      </c>
      <c r="R28" s="19">
        <f>'Demand - Developed'!R58+'Demand - Emerging'!R58</f>
        <v>1680.2814459427996</v>
      </c>
    </row>
    <row r="29" spans="1:18" x14ac:dyDescent="0.3">
      <c r="A29" t="s">
        <v>131</v>
      </c>
      <c r="C29" s="19">
        <f>'Demand - Developed'!C64+'Demand - Emerging'!C64</f>
        <v>60.774000000000008</v>
      </c>
      <c r="D29" s="19">
        <f>'Demand - Developed'!D64+'Demand - Emerging'!D64</f>
        <v>63.016914</v>
      </c>
      <c r="E29" s="19">
        <f>'Demand - Developed'!E64+'Demand - Emerging'!E64</f>
        <v>65.448272941200003</v>
      </c>
      <c r="F29" s="19">
        <f>'Demand - Developed'!F64+'Demand - Emerging'!F64</f>
        <v>68.408205190809852</v>
      </c>
      <c r="G29" s="19">
        <f>'Demand - Developed'!G64+'Demand - Emerging'!G64</f>
        <v>132.85603547026795</v>
      </c>
      <c r="H29" s="19">
        <f>'Demand - Developed'!H64+'Demand - Emerging'!H64</f>
        <v>192.91146453340406</v>
      </c>
      <c r="I29" s="19">
        <f>'Demand - Developed'!I64+'Demand - Emerging'!I64</f>
        <v>248.83230369086152</v>
      </c>
      <c r="J29" s="19">
        <f>'Demand - Developed'!J64+'Demand - Emerging'!J64</f>
        <v>301.37209975718292</v>
      </c>
      <c r="K29" s="19">
        <f>'Demand - Developed'!K64+'Demand - Emerging'!K64</f>
        <v>351.47503630099095</v>
      </c>
      <c r="L29" s="19">
        <f>'Demand - Developed'!L64+'Demand - Emerging'!L64</f>
        <v>400.03241808524172</v>
      </c>
      <c r="M29" s="19">
        <f>'Demand - Developed'!M64+'Demand - Emerging'!M64</f>
        <v>442.27602337409161</v>
      </c>
      <c r="N29" s="19">
        <f>'Demand - Developed'!N64+'Demand - Emerging'!N64</f>
        <v>473.75178015061385</v>
      </c>
      <c r="O29" s="19">
        <f>'Demand - Developed'!O64+'Demand - Emerging'!O64</f>
        <v>505.82904989046068</v>
      </c>
      <c r="P29" s="19">
        <f>'Demand - Developed'!P64+'Demand - Emerging'!P64</f>
        <v>538.82205456495535</v>
      </c>
      <c r="Q29" s="19">
        <f>'Demand - Developed'!Q64+'Demand - Emerging'!Q64</f>
        <v>559.1779716347279</v>
      </c>
      <c r="R29" s="19">
        <f>'Demand - Developed'!R64+'Demand - Emerging'!R64</f>
        <v>579.67671184958158</v>
      </c>
    </row>
    <row r="30" spans="1:18" x14ac:dyDescent="0.3">
      <c r="A30" s="2" t="s">
        <v>132</v>
      </c>
      <c r="C30" s="20">
        <f>C27+C28+C29</f>
        <v>10020.271500000001</v>
      </c>
      <c r="D30" s="20">
        <f t="shared" ref="D30:R30" si="15">D27+D28+D29</f>
        <v>9576.8313330000019</v>
      </c>
      <c r="E30" s="20">
        <f t="shared" si="15"/>
        <v>9078.0180026819999</v>
      </c>
      <c r="F30" s="20">
        <f t="shared" si="15"/>
        <v>8551.0669791667824</v>
      </c>
      <c r="G30" s="20">
        <f t="shared" si="15"/>
        <v>8017.8458756828641</v>
      </c>
      <c r="H30" s="20">
        <f t="shared" si="15"/>
        <v>7446.0372404417649</v>
      </c>
      <c r="I30" s="20">
        <f t="shared" si="15"/>
        <v>6867.9649162844926</v>
      </c>
      <c r="J30" s="20">
        <f t="shared" si="15"/>
        <v>6308.4501075290573</v>
      </c>
      <c r="K30" s="20">
        <f t="shared" si="15"/>
        <v>5784.2020779420518</v>
      </c>
      <c r="L30" s="20">
        <f t="shared" si="15"/>
        <v>5304.5971883908587</v>
      </c>
      <c r="M30" s="20">
        <f t="shared" si="15"/>
        <v>4873.3070090178398</v>
      </c>
      <c r="N30" s="20">
        <f t="shared" si="15"/>
        <v>4496.4800426601159</v>
      </c>
      <c r="O30" s="20">
        <f t="shared" si="15"/>
        <v>4167.153402918575</v>
      </c>
      <c r="P30" s="20">
        <f t="shared" si="15"/>
        <v>3880.2804324455019</v>
      </c>
      <c r="Q30" s="20">
        <f t="shared" si="15"/>
        <v>3632.2575439866937</v>
      </c>
      <c r="R30" s="20">
        <f t="shared" si="15"/>
        <v>3421.4735982475331</v>
      </c>
    </row>
    <row r="32" spans="1:18" x14ac:dyDescent="0.3">
      <c r="A32" s="3" t="s">
        <v>133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t="s">
        <v>134</v>
      </c>
      <c r="C33" s="10">
        <f>IF(C10&gt;0,MIN(C27/C10,1),0)</f>
        <v>0.9761902173913044</v>
      </c>
      <c r="D33" s="10">
        <f t="shared" ref="D33:R33" si="16">IF(D10&gt;0,MIN(D27/D10,1),0)</f>
        <v>0.97869388000000013</v>
      </c>
      <c r="E33" s="10">
        <f t="shared" si="16"/>
        <v>0.99565150774281308</v>
      </c>
      <c r="F33" s="10">
        <f t="shared" si="16"/>
        <v>0.97963340099865259</v>
      </c>
      <c r="G33" s="10">
        <f t="shared" si="16"/>
        <v>0.95564023024090283</v>
      </c>
      <c r="H33" s="10">
        <f t="shared" si="16"/>
        <v>0.92646255412462541</v>
      </c>
      <c r="I33" s="10">
        <f t="shared" si="16"/>
        <v>0.8956650156529351</v>
      </c>
      <c r="J33" s="10">
        <f t="shared" si="16"/>
        <v>0.86656033339595195</v>
      </c>
      <c r="K33" s="10">
        <f t="shared" si="16"/>
        <v>0.84222718216118064</v>
      </c>
      <c r="L33" s="10">
        <f t="shared" si="16"/>
        <v>0.82579780046367102</v>
      </c>
      <c r="M33" s="10">
        <f t="shared" si="16"/>
        <v>0.79903433310796612</v>
      </c>
      <c r="N33" s="10">
        <f t="shared" si="16"/>
        <v>0.75738913970118915</v>
      </c>
      <c r="O33" s="10">
        <f t="shared" si="16"/>
        <v>0.72295156154722706</v>
      </c>
      <c r="P33" s="10">
        <f t="shared" si="16"/>
        <v>0.69706759956591047</v>
      </c>
      <c r="Q33" s="10">
        <f t="shared" si="16"/>
        <v>0.68229102370331574</v>
      </c>
      <c r="R33" s="10">
        <f t="shared" si="16"/>
        <v>0.68324437673832439</v>
      </c>
    </row>
    <row r="34" spans="1:18" x14ac:dyDescent="0.3">
      <c r="A34" t="s">
        <v>135</v>
      </c>
      <c r="C34" s="10">
        <f>IF(C17&gt;0,MIN(C28/C17,1),0)</f>
        <v>1</v>
      </c>
      <c r="D34" s="10">
        <f t="shared" ref="D34:R34" si="17">IF(D17&gt;0,MIN(D28/D17,1),0)</f>
        <v>0.86816798863636369</v>
      </c>
      <c r="E34" s="10">
        <f t="shared" si="17"/>
        <v>0.66475412550461532</v>
      </c>
      <c r="F34" s="10">
        <f t="shared" si="17"/>
        <v>0.62688521350248838</v>
      </c>
      <c r="G34" s="10">
        <f t="shared" si="17"/>
        <v>0.5862001184331771</v>
      </c>
      <c r="H34" s="10">
        <f t="shared" si="17"/>
        <v>0.54479734549256664</v>
      </c>
      <c r="I34" s="10">
        <f t="shared" si="17"/>
        <v>0.50403418217732165</v>
      </c>
      <c r="J34" s="10">
        <f t="shared" si="17"/>
        <v>0.46507676133114301</v>
      </c>
      <c r="K34" s="10">
        <f t="shared" si="17"/>
        <v>0.42870638193990018</v>
      </c>
      <c r="L34" s="10">
        <f t="shared" si="17"/>
        <v>0.39529421326227676</v>
      </c>
      <c r="M34" s="10">
        <f t="shared" si="17"/>
        <v>0.36478486632271567</v>
      </c>
      <c r="N34" s="10">
        <f t="shared" si="17"/>
        <v>0.34041096126744219</v>
      </c>
      <c r="O34" s="10">
        <f t="shared" si="17"/>
        <v>0.31870620167109326</v>
      </c>
      <c r="P34" s="10">
        <f t="shared" si="17"/>
        <v>0.29901364496816502</v>
      </c>
      <c r="Q34" s="10">
        <f t="shared" si="17"/>
        <v>0.28331353193911485</v>
      </c>
      <c r="R34" s="10">
        <f t="shared" si="17"/>
        <v>0.26927587274724352</v>
      </c>
    </row>
    <row r="35" spans="1:18" x14ac:dyDescent="0.3">
      <c r="A35" t="s">
        <v>136</v>
      </c>
      <c r="C35" s="10">
        <f>IF(C24&gt;0,MIN(C29/C24,1),0)</f>
        <v>1</v>
      </c>
      <c r="D35" s="10">
        <f t="shared" ref="D35:R35" si="18">IF(D24&gt;0,MIN(D29/D24,1),0)</f>
        <v>0.43459940689655174</v>
      </c>
      <c r="E35" s="10">
        <f t="shared" si="18"/>
        <v>0.21816090980400002</v>
      </c>
      <c r="F35" s="10">
        <f t="shared" si="18"/>
        <v>0.14711441976518247</v>
      </c>
      <c r="G35" s="10">
        <f t="shared" si="18"/>
        <v>0.21088259598455231</v>
      </c>
      <c r="H35" s="10">
        <f t="shared" si="18"/>
        <v>0.24265593023069693</v>
      </c>
      <c r="I35" s="10">
        <f t="shared" si="18"/>
        <v>0.25920031634464741</v>
      </c>
      <c r="J35" s="10">
        <f t="shared" si="18"/>
        <v>0.2678863108952737</v>
      </c>
      <c r="K35" s="10">
        <f t="shared" si="18"/>
        <v>0.2724612684503806</v>
      </c>
      <c r="L35" s="10">
        <f t="shared" si="18"/>
        <v>0.27493636981803554</v>
      </c>
      <c r="M35" s="10">
        <f t="shared" si="18"/>
        <v>0.27300989097166151</v>
      </c>
      <c r="N35" s="10">
        <f t="shared" si="18"/>
        <v>0.26540715974824308</v>
      </c>
      <c r="O35" s="10">
        <f t="shared" si="18"/>
        <v>0.25939951276433881</v>
      </c>
      <c r="P35" s="10">
        <f t="shared" si="18"/>
        <v>0.25476220073993161</v>
      </c>
      <c r="Q35" s="10">
        <f t="shared" si="18"/>
        <v>0.245253496331021</v>
      </c>
      <c r="R35" s="10">
        <f t="shared" si="18"/>
        <v>0.2370865897135303</v>
      </c>
    </row>
    <row r="36" spans="1:18" x14ac:dyDescent="0.3">
      <c r="A36" s="2" t="s">
        <v>137</v>
      </c>
      <c r="C36" s="10">
        <f>IF((C10+C17+C24)&gt;0,MIN(C30/(C10+C17+C24),1),0)</f>
        <v>0.98093700440528642</v>
      </c>
      <c r="D36" s="10">
        <f t="shared" ref="D36:R36" si="19">IF((D10+D17+D24)&gt;0,MIN(D30/(D10+D17+D24),1),0)</f>
        <v>0.95624876015976057</v>
      </c>
      <c r="E36" s="10">
        <f t="shared" si="19"/>
        <v>0.90780180026820001</v>
      </c>
      <c r="F36" s="10">
        <f t="shared" si="19"/>
        <v>0.85983579478801231</v>
      </c>
      <c r="G36" s="10">
        <f t="shared" si="19"/>
        <v>0.81070231301141193</v>
      </c>
      <c r="H36" s="10">
        <f t="shared" si="19"/>
        <v>0.7570958048237687</v>
      </c>
      <c r="I36" s="10">
        <f t="shared" si="19"/>
        <v>0.70224590146058208</v>
      </c>
      <c r="J36" s="10">
        <f t="shared" si="19"/>
        <v>0.64868381568422184</v>
      </c>
      <c r="K36" s="10">
        <f t="shared" si="19"/>
        <v>0.59815947031458649</v>
      </c>
      <c r="L36" s="10">
        <f t="shared" si="19"/>
        <v>0.55170017559967333</v>
      </c>
      <c r="M36" s="10">
        <f t="shared" si="19"/>
        <v>0.50448312722751965</v>
      </c>
      <c r="N36" s="10">
        <f t="shared" si="19"/>
        <v>0.45859051939419848</v>
      </c>
      <c r="O36" s="10">
        <f t="shared" si="19"/>
        <v>0.41880938722799749</v>
      </c>
      <c r="P36" s="10">
        <f t="shared" si="19"/>
        <v>0.38437646680985654</v>
      </c>
      <c r="Q36" s="10">
        <f t="shared" si="19"/>
        <v>0.35471265077995057</v>
      </c>
      <c r="R36" s="10">
        <f t="shared" si="19"/>
        <v>0.329463033052242</v>
      </c>
    </row>
    <row r="38" spans="1:18" x14ac:dyDescent="0.3">
      <c r="A38" s="3" t="s">
        <v>138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">
      <c r="A39" t="s">
        <v>139</v>
      </c>
      <c r="C39" s="10">
        <f>IF(C10&gt;0,C6/C10,0)</f>
        <v>0.25</v>
      </c>
      <c r="D39" s="10">
        <f t="shared" ref="D39:R39" si="20">IF(D10&gt;0,D6/D10,0)</f>
        <v>0.26315789473684209</v>
      </c>
      <c r="E39" s="10">
        <f t="shared" si="20"/>
        <v>0.27741935483870966</v>
      </c>
      <c r="F39" s="10">
        <f t="shared" si="20"/>
        <v>0.28472222222222221</v>
      </c>
      <c r="G39" s="10">
        <f t="shared" si="20"/>
        <v>0.2932330827067669</v>
      </c>
      <c r="H39" s="10">
        <f t="shared" si="20"/>
        <v>0.30327868852459017</v>
      </c>
      <c r="I39" s="10">
        <f t="shared" si="20"/>
        <v>0.31531531531531531</v>
      </c>
      <c r="J39" s="10">
        <f t="shared" si="20"/>
        <v>0.33</v>
      </c>
      <c r="K39" s="10">
        <f t="shared" si="20"/>
        <v>0.34831460674157305</v>
      </c>
      <c r="L39" s="10">
        <f t="shared" si="20"/>
        <v>0.37179487179487181</v>
      </c>
      <c r="M39" s="10">
        <f t="shared" si="20"/>
        <v>0.39130434782608697</v>
      </c>
      <c r="N39" s="10">
        <f t="shared" si="20"/>
        <v>0.40322580645161288</v>
      </c>
      <c r="O39" s="10">
        <f t="shared" si="20"/>
        <v>0.41818181818181815</v>
      </c>
      <c r="P39" s="10">
        <f t="shared" si="20"/>
        <v>0.4375</v>
      </c>
      <c r="Q39" s="10">
        <f t="shared" si="20"/>
        <v>0.46341463414634149</v>
      </c>
      <c r="R39" s="10">
        <f t="shared" si="20"/>
        <v>0.5</v>
      </c>
    </row>
    <row r="40" spans="1:18" x14ac:dyDescent="0.3">
      <c r="A40" t="s">
        <v>140</v>
      </c>
      <c r="C40" s="10">
        <f>IF(C17&gt;0,C13/C17,0)</f>
        <v>0.3125</v>
      </c>
      <c r="D40" s="10">
        <f t="shared" ref="D40:R40" si="21">IF(D17&gt;0,D13/D17,0)</f>
        <v>0.37878787878787878</v>
      </c>
      <c r="E40" s="10">
        <f t="shared" si="21"/>
        <v>0.35897435897435898</v>
      </c>
      <c r="F40" s="10">
        <f t="shared" si="21"/>
        <v>0.35087719298245612</v>
      </c>
      <c r="G40" s="10">
        <f t="shared" si="21"/>
        <v>0.34482758620689657</v>
      </c>
      <c r="H40" s="10">
        <f t="shared" si="21"/>
        <v>0.3401360544217687</v>
      </c>
      <c r="I40" s="10">
        <f t="shared" si="21"/>
        <v>0.3363914373088685</v>
      </c>
      <c r="J40" s="10">
        <f t="shared" si="21"/>
        <v>0.33333333333333331</v>
      </c>
      <c r="K40" s="10">
        <f t="shared" si="21"/>
        <v>0.33078880407124683</v>
      </c>
      <c r="L40" s="10">
        <f t="shared" si="21"/>
        <v>0.32863849765258218</v>
      </c>
      <c r="M40" s="10">
        <f t="shared" si="21"/>
        <v>0.32679738562091504</v>
      </c>
      <c r="N40" s="10">
        <f t="shared" si="21"/>
        <v>0.32520325203252032</v>
      </c>
      <c r="O40" s="10">
        <f t="shared" si="21"/>
        <v>0.32380952380952382</v>
      </c>
      <c r="P40" s="10">
        <f t="shared" si="21"/>
        <v>0.32258064516129031</v>
      </c>
      <c r="Q40" s="10">
        <f t="shared" si="21"/>
        <v>0.32148900169204736</v>
      </c>
      <c r="R40" s="10">
        <f t="shared" si="21"/>
        <v>0.32051282051282054</v>
      </c>
    </row>
    <row r="41" spans="1:18" x14ac:dyDescent="0.3">
      <c r="A41" t="s">
        <v>141</v>
      </c>
      <c r="C41" s="10">
        <f>IF(C24&gt;0,C20/C24,0)</f>
        <v>0.18181818181818182</v>
      </c>
      <c r="D41" s="10">
        <f t="shared" ref="D41:R41" si="22">IF(D24&gt;0,D20/D24,0)</f>
        <v>0.17241379310344829</v>
      </c>
      <c r="E41" s="10">
        <f t="shared" si="22"/>
        <v>0.2</v>
      </c>
      <c r="F41" s="10">
        <f t="shared" si="22"/>
        <v>0.21505376344086022</v>
      </c>
      <c r="G41" s="10">
        <f t="shared" si="22"/>
        <v>0.22222222222222221</v>
      </c>
      <c r="H41" s="10">
        <f t="shared" si="22"/>
        <v>0.22641509433962265</v>
      </c>
      <c r="I41" s="10">
        <f t="shared" si="22"/>
        <v>0.22916666666666666</v>
      </c>
      <c r="J41" s="10">
        <f t="shared" si="22"/>
        <v>0.2311111111111111</v>
      </c>
      <c r="K41" s="10">
        <f t="shared" si="22"/>
        <v>0.23255813953488372</v>
      </c>
      <c r="L41" s="10">
        <f t="shared" si="22"/>
        <v>0.23367697594501718</v>
      </c>
      <c r="M41" s="10">
        <f t="shared" si="22"/>
        <v>0.23456790123456789</v>
      </c>
      <c r="N41" s="10">
        <f t="shared" si="22"/>
        <v>0.23529411764705882</v>
      </c>
      <c r="O41" s="10">
        <f t="shared" si="22"/>
        <v>0.23589743589743589</v>
      </c>
      <c r="P41" s="10">
        <f t="shared" si="22"/>
        <v>0.2364066193853428</v>
      </c>
      <c r="Q41" s="10">
        <f t="shared" si="22"/>
        <v>0.23684210526315788</v>
      </c>
      <c r="R41" s="10">
        <f t="shared" si="22"/>
        <v>0.23721881390593047</v>
      </c>
    </row>
    <row r="43" spans="1:18" x14ac:dyDescent="0.3">
      <c r="A43" s="3" t="s">
        <v>142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3">
      <c r="A44" t="s">
        <v>143</v>
      </c>
      <c r="C44" s="19">
        <f>MIN(C27*C39,C6)</f>
        <v>2245.2375000000002</v>
      </c>
      <c r="D44" s="19">
        <f t="shared" ref="D44:R44" si="23">MIN(D27*D39,D6)</f>
        <v>2202.0612300000003</v>
      </c>
      <c r="E44" s="19">
        <f t="shared" si="23"/>
        <v>2140.6507416470481</v>
      </c>
      <c r="F44" s="19">
        <f t="shared" si="23"/>
        <v>2008.2484720472378</v>
      </c>
      <c r="G44" s="19">
        <f t="shared" si="23"/>
        <v>1863.4984489697604</v>
      </c>
      <c r="H44" s="19">
        <f t="shared" si="23"/>
        <v>1713.9557251305571</v>
      </c>
      <c r="I44" s="19">
        <f t="shared" si="23"/>
        <v>1567.4137773926363</v>
      </c>
      <c r="J44" s="19">
        <f t="shared" si="23"/>
        <v>1429.8245501033209</v>
      </c>
      <c r="K44" s="19">
        <f t="shared" si="23"/>
        <v>1305.45213234983</v>
      </c>
      <c r="L44" s="19">
        <f t="shared" si="23"/>
        <v>1197.406810672323</v>
      </c>
      <c r="M44" s="19">
        <f t="shared" si="23"/>
        <v>1078.6963496957544</v>
      </c>
      <c r="N44" s="19">
        <f t="shared" si="23"/>
        <v>946.73642462648638</v>
      </c>
      <c r="O44" s="19">
        <f t="shared" si="23"/>
        <v>831.39429577931116</v>
      </c>
      <c r="P44" s="19">
        <f t="shared" si="23"/>
        <v>731.92097954420603</v>
      </c>
      <c r="Q44" s="19">
        <f t="shared" si="23"/>
        <v>648.17647251815004</v>
      </c>
      <c r="R44" s="19">
        <f t="shared" si="23"/>
        <v>580.75772022757576</v>
      </c>
    </row>
    <row r="45" spans="1:18" x14ac:dyDescent="0.3">
      <c r="A45" t="s">
        <v>144</v>
      </c>
      <c r="C45" s="19">
        <f>MIN(C28*C40,C13)</f>
        <v>300</v>
      </c>
      <c r="D45" s="19">
        <f t="shared" ref="D45:R45" si="24">MIN(D28*D40,D13)</f>
        <v>434.08399431818185</v>
      </c>
      <c r="E45" s="19">
        <f t="shared" si="24"/>
        <v>465.32788785323078</v>
      </c>
      <c r="F45" s="19">
        <f t="shared" si="24"/>
        <v>501.50817080199067</v>
      </c>
      <c r="G45" s="19">
        <f t="shared" si="24"/>
        <v>527.58010658985938</v>
      </c>
      <c r="H45" s="19">
        <f t="shared" si="24"/>
        <v>544.79734549256659</v>
      </c>
      <c r="I45" s="19">
        <f t="shared" si="24"/>
        <v>554.43760039505378</v>
      </c>
      <c r="J45" s="19">
        <f t="shared" si="24"/>
        <v>558.09211359737151</v>
      </c>
      <c r="K45" s="19">
        <f t="shared" si="24"/>
        <v>557.31829652187025</v>
      </c>
      <c r="L45" s="19">
        <f t="shared" si="24"/>
        <v>553.41189856718745</v>
      </c>
      <c r="M45" s="19">
        <f t="shared" si="24"/>
        <v>547.1772994840735</v>
      </c>
      <c r="N45" s="19">
        <f t="shared" si="24"/>
        <v>544.65753802790744</v>
      </c>
      <c r="O45" s="19">
        <f t="shared" si="24"/>
        <v>541.80054284085861</v>
      </c>
      <c r="P45" s="19">
        <f t="shared" si="24"/>
        <v>538.22456094269705</v>
      </c>
      <c r="Q45" s="19">
        <f t="shared" si="24"/>
        <v>538.29571068431812</v>
      </c>
      <c r="R45" s="19">
        <f t="shared" si="24"/>
        <v>538.55174549448714</v>
      </c>
    </row>
    <row r="46" spans="1:18" x14ac:dyDescent="0.3">
      <c r="A46" t="s">
        <v>145</v>
      </c>
      <c r="C46" s="19">
        <f>MIN(C29*C41,C20)</f>
        <v>10</v>
      </c>
      <c r="D46" s="19">
        <f t="shared" ref="D46:R46" si="25">MIN(D29*D41,D20)</f>
        <v>10.864985172413794</v>
      </c>
      <c r="E46" s="19">
        <f t="shared" si="25"/>
        <v>13.089654588240002</v>
      </c>
      <c r="F46" s="19">
        <f t="shared" si="25"/>
        <v>14.711441976518248</v>
      </c>
      <c r="G46" s="19">
        <f t="shared" si="25"/>
        <v>29.523563437837321</v>
      </c>
      <c r="H46" s="19">
        <f t="shared" si="25"/>
        <v>43.67806744152545</v>
      </c>
      <c r="I46" s="19">
        <f t="shared" si="25"/>
        <v>57.024069595822432</v>
      </c>
      <c r="J46" s="19">
        <f t="shared" si="25"/>
        <v>69.650440832771167</v>
      </c>
      <c r="K46" s="19">
        <f t="shared" si="25"/>
        <v>81.738380535114175</v>
      </c>
      <c r="L46" s="19">
        <f t="shared" si="25"/>
        <v>93.478365738132084</v>
      </c>
      <c r="M46" s="19">
        <f t="shared" si="25"/>
        <v>103.74375856923136</v>
      </c>
      <c r="N46" s="19">
        <f t="shared" si="25"/>
        <v>111.47100709426208</v>
      </c>
      <c r="O46" s="19">
        <f t="shared" si="25"/>
        <v>119.32377587159586</v>
      </c>
      <c r="P46" s="19">
        <f t="shared" si="25"/>
        <v>127.38110036996581</v>
      </c>
      <c r="Q46" s="19">
        <f t="shared" si="25"/>
        <v>132.43688801875135</v>
      </c>
      <c r="R46" s="19">
        <f t="shared" si="25"/>
        <v>137.51022203384758</v>
      </c>
    </row>
    <row r="47" spans="1:18" x14ac:dyDescent="0.3">
      <c r="A47" s="2" t="s">
        <v>146</v>
      </c>
      <c r="C47" s="20">
        <f>C44+C45+C46</f>
        <v>2555.2375000000002</v>
      </c>
      <c r="D47" s="20">
        <f t="shared" ref="D47:R47" si="26">D44+D45+D46</f>
        <v>2647.010209490596</v>
      </c>
      <c r="E47" s="20">
        <f t="shared" si="26"/>
        <v>2619.0682840885188</v>
      </c>
      <c r="F47" s="20">
        <f t="shared" si="26"/>
        <v>2524.4680848257467</v>
      </c>
      <c r="G47" s="20">
        <f t="shared" si="26"/>
        <v>2420.6021189974572</v>
      </c>
      <c r="H47" s="20">
        <f t="shared" si="26"/>
        <v>2302.4311380646491</v>
      </c>
      <c r="I47" s="20">
        <f t="shared" si="26"/>
        <v>2178.8754473835124</v>
      </c>
      <c r="J47" s="20">
        <f t="shared" si="26"/>
        <v>2057.5671045334634</v>
      </c>
      <c r="K47" s="20">
        <f t="shared" si="26"/>
        <v>1944.5088094068144</v>
      </c>
      <c r="L47" s="20">
        <f t="shared" si="26"/>
        <v>1844.2970749776428</v>
      </c>
      <c r="M47" s="20">
        <f t="shared" si="26"/>
        <v>1729.6174077490593</v>
      </c>
      <c r="N47" s="20">
        <f t="shared" si="26"/>
        <v>1602.864969748656</v>
      </c>
      <c r="O47" s="20">
        <f t="shared" si="26"/>
        <v>1492.5186144917657</v>
      </c>
      <c r="P47" s="20">
        <f t="shared" si="26"/>
        <v>1397.5266408568689</v>
      </c>
      <c r="Q47" s="20">
        <f t="shared" si="26"/>
        <v>1318.9090712212196</v>
      </c>
      <c r="R47" s="20">
        <f t="shared" si="26"/>
        <v>1256.8196877559105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B735-D17D-4D08-963E-0082CEF4B2D0}">
  <sheetPr>
    <tabColor rgb="FF000000"/>
  </sheetPr>
  <dimension ref="A1:R44"/>
  <sheetViews>
    <sheetView topLeftCell="C4" workbookViewId="0">
      <selection activeCell="H22" sqref="H22"/>
    </sheetView>
  </sheetViews>
  <sheetFormatPr defaultRowHeight="14.4" x14ac:dyDescent="0.3"/>
  <cols>
    <col min="1" max="1" width="37" customWidth="1"/>
    <col min="2" max="2" width="3.6640625" customWidth="1"/>
    <col min="3" max="18" width="15.6640625" customWidth="1"/>
  </cols>
  <sheetData>
    <row r="1" spans="1:18" ht="18" x14ac:dyDescent="0.35">
      <c r="A1" s="17" t="s">
        <v>147</v>
      </c>
    </row>
    <row r="2" spans="1:18" x14ac:dyDescent="0.3">
      <c r="A2" t="s">
        <v>148</v>
      </c>
    </row>
    <row r="3" spans="1:18" x14ac:dyDescent="0.3">
      <c r="C3" s="18">
        <v>2010</v>
      </c>
      <c r="D3" s="18">
        <v>2011</v>
      </c>
      <c r="E3" s="18">
        <v>2012</v>
      </c>
      <c r="F3" s="18">
        <v>2013</v>
      </c>
      <c r="G3" s="18">
        <v>2014</v>
      </c>
      <c r="H3" s="18">
        <v>2015</v>
      </c>
      <c r="I3" s="18">
        <v>2016</v>
      </c>
      <c r="J3" s="18">
        <v>2017</v>
      </c>
      <c r="K3" s="18">
        <v>2018</v>
      </c>
      <c r="L3" s="18">
        <v>2019</v>
      </c>
      <c r="M3" s="18">
        <v>2020</v>
      </c>
      <c r="N3" s="18">
        <v>2021</v>
      </c>
      <c r="O3" s="18">
        <v>2022</v>
      </c>
      <c r="P3" s="18">
        <v>2023</v>
      </c>
      <c r="Q3" s="18">
        <v>2024</v>
      </c>
      <c r="R3" s="18">
        <v>2025</v>
      </c>
    </row>
    <row r="5" spans="1:18" x14ac:dyDescent="0.3">
      <c r="A5" s="3" t="s">
        <v>149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t="s">
        <v>150</v>
      </c>
      <c r="C6" s="10">
        <f>'Demand - Developed'!C66/'Supply &amp; Utilization'!C30</f>
        <v>0.42016601047187196</v>
      </c>
      <c r="D6" s="10">
        <f>'Demand - Developed'!D66/'Supply &amp; Utilization'!D30</f>
        <v>0.39012275303689947</v>
      </c>
      <c r="E6" s="10">
        <f>'Demand - Developed'!E66/'Supply &amp; Utilization'!E30</f>
        <v>0.35918740172652885</v>
      </c>
      <c r="F6" s="10">
        <f>'Demand - Developed'!F66/'Supply &amp; Utilization'!F30</f>
        <v>0.32804502859383916</v>
      </c>
      <c r="G6" s="10">
        <f>'Demand - Developed'!G66/'Supply &amp; Utilization'!G30</f>
        <v>0.29762622223500118</v>
      </c>
      <c r="H6" s="10">
        <f>'Demand - Developed'!H66/'Supply &amp; Utilization'!H30</f>
        <v>0.26772820845995576</v>
      </c>
      <c r="I6" s="10">
        <f>'Demand - Developed'!I66/'Supply &amp; Utilization'!I30</f>
        <v>0.23982937930741874</v>
      </c>
      <c r="J6" s="10">
        <f>'Demand - Developed'!J66/'Supply &amp; Utilization'!J30</f>
        <v>0.21534985612339844</v>
      </c>
      <c r="K6" s="10">
        <f>'Demand - Developed'!K66/'Supply &amp; Utilization'!K30</f>
        <v>0.19541316339012194</v>
      </c>
      <c r="L6" s="10">
        <f>'Demand - Developed'!L66/'Supply &amp; Utilization'!L30</f>
        <v>0.18064035137350387</v>
      </c>
      <c r="M6" s="10">
        <f>'Demand - Developed'!M66/'Supply &amp; Utilization'!M30</f>
        <v>0.17104796139949829</v>
      </c>
      <c r="N6" s="10">
        <f>'Demand - Developed'!N66/'Supply &amp; Utilization'!N30</f>
        <v>0.16725357714282757</v>
      </c>
      <c r="O6" s="10">
        <f>'Demand - Developed'!O66/'Supply &amp; Utilization'!O30</f>
        <v>0.16764709337510958</v>
      </c>
      <c r="P6" s="10">
        <f>'Demand - Developed'!P66/'Supply &amp; Utilization'!P30</f>
        <v>0.17075954194966228</v>
      </c>
      <c r="Q6" s="10">
        <f>'Demand - Developed'!Q66/'Supply &amp; Utilization'!Q30</f>
        <v>0.17543215601217466</v>
      </c>
      <c r="R6" s="10">
        <f>'Demand - Developed'!R66/'Supply &amp; Utilization'!R30</f>
        <v>0.18069304103408812</v>
      </c>
    </row>
    <row r="7" spans="1:18" x14ac:dyDescent="0.3">
      <c r="A7" t="s">
        <v>151</v>
      </c>
      <c r="C7" s="19">
        <f>'Supply &amp; Utilization'!C44*C6</f>
        <v>943.37248293683967</v>
      </c>
      <c r="D7" s="19">
        <f>'Supply &amp; Utilization'!D44*D6</f>
        <v>859.0741894034212</v>
      </c>
      <c r="E7" s="19">
        <f>'Supply &amp; Utilization'!E44*E6</f>
        <v>768.89477789617024</v>
      </c>
      <c r="F7" s="19">
        <f>'Supply &amp; Utilization'!F44*F6</f>
        <v>658.79592743626995</v>
      </c>
      <c r="G7" s="19">
        <f>'Supply &amp; Utilization'!G44*G6</f>
        <v>554.62600350765388</v>
      </c>
      <c r="H7" s="19">
        <f>'Supply &amp; Utilization'!H44*H6</f>
        <v>458.87429566888841</v>
      </c>
      <c r="I7" s="19">
        <f>'Supply &amp; Utilization'!I44*I6</f>
        <v>375.91187334997261</v>
      </c>
      <c r="J7" s="19">
        <f>'Supply &amp; Utilization'!J44*J6</f>
        <v>307.91251114645308</v>
      </c>
      <c r="K7" s="19">
        <f>'Supply &amp; Utilization'!K44*K6</f>
        <v>255.10253083686041</v>
      </c>
      <c r="L7" s="19">
        <f>'Supply &amp; Utilization'!L44*L6</f>
        <v>216.29998701687504</v>
      </c>
      <c r="M7" s="19">
        <f>'Supply &amp; Utilization'!M44*M6</f>
        <v>184.5088115845391</v>
      </c>
      <c r="N7" s="19">
        <f>'Supply &amp; Utilization'!N44*N6</f>
        <v>158.34505363019079</v>
      </c>
      <c r="O7" s="19">
        <f>'Supply &amp; Utilization'!O44*O6</f>
        <v>139.38083713604766</v>
      </c>
      <c r="P7" s="19">
        <f>'Supply &amp; Utilization'!P44*P6</f>
        <v>124.98249121031675</v>
      </c>
      <c r="Q7" s="19">
        <f>'Supply &amp; Utilization'!Q44*Q6</f>
        <v>113.71099605022513</v>
      </c>
      <c r="R7" s="19">
        <f>'Supply &amp; Utilization'!R44*R6</f>
        <v>104.93887857194481</v>
      </c>
    </row>
    <row r="8" spans="1:18" x14ac:dyDescent="0.3">
      <c r="A8" t="s">
        <v>152</v>
      </c>
      <c r="C8" s="19">
        <f>'Supply &amp; Utilization'!C45*C6</f>
        <v>126.04980314156158</v>
      </c>
      <c r="D8" s="19">
        <f>'Supply &amp; Utilization'!D45*D6</f>
        <v>169.34604291266294</v>
      </c>
      <c r="E8" s="19">
        <f>'Supply &amp; Utilization'!E45*E6</f>
        <v>167.13991498889558</v>
      </c>
      <c r="F8" s="19">
        <f>'Supply &amp; Utilization'!F45*F6</f>
        <v>164.51726223078302</v>
      </c>
      <c r="G8" s="19">
        <f>'Supply &amp; Utilization'!G45*G6</f>
        <v>157.02167405067911</v>
      </c>
      <c r="H8" s="19">
        <f>'Supply &amp; Utilization'!H45*H6</f>
        <v>145.85761728246442</v>
      </c>
      <c r="I8" s="19">
        <f>'Supply &amp; Utilization'!I45*I6</f>
        <v>132.9704255674404</v>
      </c>
      <c r="J8" s="19">
        <f>'Supply &amp; Utilization'!J45*J6</f>
        <v>120.18505636679728</v>
      </c>
      <c r="K8" s="19">
        <f>'Supply &amp; Utilization'!K45*K6</f>
        <v>108.90733133853266</v>
      </c>
      <c r="L8" s="19">
        <f>'Supply &amp; Utilization'!L45*L6</f>
        <v>99.968519811454627</v>
      </c>
      <c r="M8" s="19">
        <f>'Supply &amp; Utilization'!M45*M6</f>
        <v>93.593561600833524</v>
      </c>
      <c r="N8" s="19">
        <f>'Supply &amp; Utilization'!N45*N6</f>
        <v>91.095921552973152</v>
      </c>
      <c r="O8" s="19">
        <f>'Supply &amp; Utilization'!O45*O6</f>
        <v>90.831286196326488</v>
      </c>
      <c r="P8" s="19">
        <f>'Supply &amp; Utilization'!P45*P6</f>
        <v>91.906979492633042</v>
      </c>
      <c r="Q8" s="19">
        <f>'Supply &amp; Utilization'!Q45*Q6</f>
        <v>94.434377097455723</v>
      </c>
      <c r="R8" s="19">
        <f>'Supply &amp; Utilization'!R45*R6</f>
        <v>97.312552647615149</v>
      </c>
    </row>
    <row r="9" spans="1:18" x14ac:dyDescent="0.3">
      <c r="A9" t="s">
        <v>153</v>
      </c>
      <c r="C9" s="19">
        <f>'Supply &amp; Utilization'!C46*C6</f>
        <v>4.2016601047187194</v>
      </c>
      <c r="D9" s="19">
        <f>'Supply &amp; Utilization'!D46*D6</f>
        <v>4.2386779271671609</v>
      </c>
      <c r="E9" s="19">
        <f>'Supply &amp; Utilization'!E46*E6</f>
        <v>4.7016390210476633</v>
      </c>
      <c r="F9" s="19">
        <f>'Supply &amp; Utilization'!F46*F6</f>
        <v>4.8260154038435346</v>
      </c>
      <c r="G9" s="19">
        <f>'Supply &amp; Utilization'!G46*G6</f>
        <v>8.7869866529189267</v>
      </c>
      <c r="H9" s="19">
        <f>'Supply &amp; Utilization'!H46*H6</f>
        <v>11.693850745112732</v>
      </c>
      <c r="I9" s="19">
        <f>'Supply &amp; Utilization'!I46*I6</f>
        <v>13.676047216749142</v>
      </c>
      <c r="J9" s="19">
        <f>'Supply &amp; Utilization'!J46*J6</f>
        <v>14.999212412268546</v>
      </c>
      <c r="K9" s="19">
        <f>'Supply &amp; Utilization'!K46*K6</f>
        <v>15.972755510752229</v>
      </c>
      <c r="L9" s="19">
        <f>'Supply &amp; Utilization'!L46*L6</f>
        <v>16.885964832757086</v>
      </c>
      <c r="M9" s="19">
        <f>'Supply &amp; Utilization'!M46*M6</f>
        <v>17.745158411188758</v>
      </c>
      <c r="N9" s="19">
        <f>'Supply &amp; Utilization'!N46*N6</f>
        <v>18.643924684228843</v>
      </c>
      <c r="O9" s="19">
        <f>'Supply &amp; Utilization'!O46*O6</f>
        <v>20.004284195416076</v>
      </c>
      <c r="P9" s="19">
        <f>'Supply &amp; Utilization'!P46*P6</f>
        <v>21.751538352219317</v>
      </c>
      <c r="Q9" s="19">
        <f>'Supply &amp; Utilization'!Q46*Q6</f>
        <v>23.233688800672489</v>
      </c>
      <c r="R9" s="19">
        <f>'Supply &amp; Utilization'!R46*R6</f>
        <v>24.847140192568588</v>
      </c>
    </row>
    <row r="10" spans="1:18" x14ac:dyDescent="0.3">
      <c r="A10" s="2" t="s">
        <v>154</v>
      </c>
      <c r="C10" s="19">
        <f>C7+C8+C9</f>
        <v>1073.6239461831199</v>
      </c>
      <c r="D10" s="19">
        <f t="shared" ref="D10:R10" si="0">D7+D8+D9</f>
        <v>1032.6589102432513</v>
      </c>
      <c r="E10" s="19">
        <f t="shared" si="0"/>
        <v>940.73633190611349</v>
      </c>
      <c r="F10" s="19">
        <f t="shared" si="0"/>
        <v>828.13920507089642</v>
      </c>
      <c r="G10" s="19">
        <f t="shared" si="0"/>
        <v>720.43466421125197</v>
      </c>
      <c r="H10" s="19">
        <f t="shared" si="0"/>
        <v>616.42576369646554</v>
      </c>
      <c r="I10" s="19">
        <f t="shared" si="0"/>
        <v>522.55834613416209</v>
      </c>
      <c r="J10" s="19">
        <f t="shared" si="0"/>
        <v>443.09677992551894</v>
      </c>
      <c r="K10" s="19">
        <f t="shared" si="0"/>
        <v>379.98261768614532</v>
      </c>
      <c r="L10" s="19">
        <f t="shared" si="0"/>
        <v>333.1544716610868</v>
      </c>
      <c r="M10" s="19">
        <f t="shared" si="0"/>
        <v>295.8475315965614</v>
      </c>
      <c r="N10" s="19">
        <f t="shared" si="0"/>
        <v>268.08489986739278</v>
      </c>
      <c r="O10" s="19">
        <f t="shared" si="0"/>
        <v>250.21640752779024</v>
      </c>
      <c r="P10" s="19">
        <f t="shared" si="0"/>
        <v>238.64100905516909</v>
      </c>
      <c r="Q10" s="19">
        <f t="shared" si="0"/>
        <v>231.37906194835335</v>
      </c>
      <c r="R10" s="19">
        <f t="shared" si="0"/>
        <v>227.09857141212854</v>
      </c>
    </row>
    <row r="12" spans="1:18" x14ac:dyDescent="0.3">
      <c r="A12" s="3" t="s">
        <v>155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t="s">
        <v>156</v>
      </c>
      <c r="C13" s="27">
        <f>C7*'Demand - Developed'!C6</f>
        <v>471.68624146841984</v>
      </c>
      <c r="D13" s="27">
        <f>D7*'Demand - Developed'!D6</f>
        <v>429.5370947017106</v>
      </c>
      <c r="E13" s="27">
        <f>E7*'Demand - Developed'!E6</f>
        <v>384.44738894808512</v>
      </c>
      <c r="F13" s="27">
        <f>F7*'Demand - Developed'!F6</f>
        <v>329.39796371813497</v>
      </c>
      <c r="G13" s="27">
        <f>G7*'Demand - Developed'!G6</f>
        <v>277.31300175382694</v>
      </c>
      <c r="H13" s="27">
        <f>H7*'Demand - Developed'!H6</f>
        <v>229.4371478344442</v>
      </c>
      <c r="I13" s="27">
        <f>I7*'Demand - Developed'!I6</f>
        <v>187.9559366749863</v>
      </c>
      <c r="J13" s="27">
        <f>J7*'Demand - Developed'!J6</f>
        <v>153.95625557322654</v>
      </c>
      <c r="K13" s="27">
        <f>K7*'Demand - Developed'!K6</f>
        <v>127.55126541843021</v>
      </c>
      <c r="L13" s="27">
        <f>L7*'Demand - Developed'!L6</f>
        <v>108.14999350843752</v>
      </c>
      <c r="M13" s="27">
        <f>M7*'Demand - Developed'!M6</f>
        <v>92.254405792269552</v>
      </c>
      <c r="N13" s="27">
        <f>N7*'Demand - Developed'!N6</f>
        <v>79.172526815095395</v>
      </c>
      <c r="O13" s="27">
        <f>O7*'Demand - Developed'!O6</f>
        <v>69.69041856802383</v>
      </c>
      <c r="P13" s="27">
        <f>P7*'Demand - Developed'!P6</f>
        <v>62.491245605158376</v>
      </c>
      <c r="Q13" s="27">
        <f>Q7*'Demand - Developed'!Q6</f>
        <v>56.855498025112567</v>
      </c>
      <c r="R13" s="27">
        <f>R7*'Demand - Developed'!R6</f>
        <v>52.469439285972406</v>
      </c>
    </row>
    <row r="14" spans="1:18" x14ac:dyDescent="0.3">
      <c r="A14" t="s">
        <v>157</v>
      </c>
      <c r="C14" s="27">
        <f>C8*'Demand - Developed'!C7</f>
        <v>378.14940942468473</v>
      </c>
      <c r="D14" s="27">
        <f>D8*'Demand - Developed'!D7</f>
        <v>487.71660358846924</v>
      </c>
      <c r="E14" s="27">
        <f>E8*'Demand - Developed'!E7</f>
        <v>462.10843696129848</v>
      </c>
      <c r="F14" s="27">
        <f>F8*'Demand - Developed'!F7</f>
        <v>436.66303355104208</v>
      </c>
      <c r="G14" s="27">
        <f>G8*'Demand - Developed'!G7</f>
        <v>400.09745610115664</v>
      </c>
      <c r="H14" s="27">
        <f>H8*'Demand - Developed'!H7</f>
        <v>356.7849566073341</v>
      </c>
      <c r="I14" s="27">
        <f>I8*'Demand - Developed'!I7</f>
        <v>312.25090923631836</v>
      </c>
      <c r="J14" s="27">
        <f>J8*'Demand - Developed'!J7</f>
        <v>270.93827253935058</v>
      </c>
      <c r="K14" s="27">
        <f>K8*'Demand - Developed'!K7</f>
        <v>235.69384170767071</v>
      </c>
      <c r="L14" s="27">
        <f>L8*'Demand - Developed'!L7</f>
        <v>207.69479544505609</v>
      </c>
      <c r="M14" s="27">
        <f>M8*'Demand - Developed'!M7</f>
        <v>186.67216281274517</v>
      </c>
      <c r="N14" s="27">
        <f>N8*'Demand - Developed'!N7</f>
        <v>174.42299996391776</v>
      </c>
      <c r="O14" s="27">
        <f>O8*'Demand - Developed'!O7</f>
        <v>166.95964596990547</v>
      </c>
      <c r="P14" s="27">
        <f>P8*'Demand - Developed'!P7</f>
        <v>162.17943293330802</v>
      </c>
      <c r="Q14" s="27">
        <f>Q8*'Demand - Developed'!Q7</f>
        <v>159.97371754743654</v>
      </c>
      <c r="R14" s="27">
        <f>R8*'Demand - Developed'!R7</f>
        <v>158.25542813930934</v>
      </c>
    </row>
    <row r="15" spans="1:18" x14ac:dyDescent="0.3">
      <c r="A15" t="s">
        <v>158</v>
      </c>
      <c r="C15" s="27">
        <f>C9*'Demand - Developed'!C8</f>
        <v>168.06640418874878</v>
      </c>
      <c r="D15" s="27">
        <f>D9*'Demand - Developed'!D8</f>
        <v>152.59240537801779</v>
      </c>
      <c r="E15" s="27">
        <f>E9*'Demand - Developed'!E8</f>
        <v>152.33310428194429</v>
      </c>
      <c r="F15" s="27">
        <f>F9*'Demand - Developed'!F8</f>
        <v>140.72660917607746</v>
      </c>
      <c r="G15" s="27">
        <f>G9*'Demand - Developed'!G8</f>
        <v>230.60567771920432</v>
      </c>
      <c r="H15" s="27">
        <f>H9*'Demand - Developed'!H8</f>
        <v>276.2040770592647</v>
      </c>
      <c r="I15" s="27">
        <f>I9*'Demand - Developed'!I8</f>
        <v>290.72048835665527</v>
      </c>
      <c r="J15" s="27">
        <f>J9*'Demand - Developed'!J8</f>
        <v>286.96307196918275</v>
      </c>
      <c r="K15" s="27">
        <f>K9*'Demand - Developed'!K8</f>
        <v>275.0299000290255</v>
      </c>
      <c r="L15" s="27">
        <f>L9*'Demand - Developed'!L8</f>
        <v>261.67875010974217</v>
      </c>
      <c r="M15" s="27">
        <f>M9*'Demand - Developed'!M8</f>
        <v>247.49416616562766</v>
      </c>
      <c r="N15" s="27">
        <f>N9*'Demand - Developed'!N8</f>
        <v>234.02644474459674</v>
      </c>
      <c r="O15" s="27">
        <f>O9*'Demand - Developed'!O8</f>
        <v>225.99202851782226</v>
      </c>
      <c r="P15" s="27">
        <f>P9*'Demand - Developed'!P8</f>
        <v>221.15796820437586</v>
      </c>
      <c r="Q15" s="27">
        <f>Q9*'Demand - Developed'!Q8</f>
        <v>212.60491066245453</v>
      </c>
      <c r="R15" s="27">
        <f>R9*'Demand - Developed'!R8</f>
        <v>204.63223294249607</v>
      </c>
    </row>
    <row r="16" spans="1:18" x14ac:dyDescent="0.3">
      <c r="A16" s="2" t="s">
        <v>159</v>
      </c>
      <c r="C16" s="27">
        <f>C13+C14+C15</f>
        <v>1017.9020550818534</v>
      </c>
      <c r="D16" s="27">
        <f t="shared" ref="D16:R16" si="1">D13+D14+D15</f>
        <v>1069.8461036681977</v>
      </c>
      <c r="E16" s="27">
        <f t="shared" si="1"/>
        <v>998.88893019132797</v>
      </c>
      <c r="F16" s="27">
        <f t="shared" si="1"/>
        <v>906.78760644525448</v>
      </c>
      <c r="G16" s="27">
        <f t="shared" si="1"/>
        <v>908.01613557418796</v>
      </c>
      <c r="H16" s="27">
        <f t="shared" si="1"/>
        <v>862.42618150104306</v>
      </c>
      <c r="I16" s="27">
        <f t="shared" si="1"/>
        <v>790.92733426795985</v>
      </c>
      <c r="J16" s="27">
        <f t="shared" si="1"/>
        <v>711.85760008175987</v>
      </c>
      <c r="K16" s="27">
        <f t="shared" si="1"/>
        <v>638.27500715512645</v>
      </c>
      <c r="L16" s="27">
        <f t="shared" si="1"/>
        <v>577.52353906323583</v>
      </c>
      <c r="M16" s="27">
        <f t="shared" si="1"/>
        <v>526.42073477064241</v>
      </c>
      <c r="N16" s="27">
        <f t="shared" si="1"/>
        <v>487.62197152360989</v>
      </c>
      <c r="O16" s="27">
        <f t="shared" si="1"/>
        <v>462.64209305575156</v>
      </c>
      <c r="P16" s="27">
        <f t="shared" si="1"/>
        <v>445.82864674284224</v>
      </c>
      <c r="Q16" s="27">
        <f t="shared" si="1"/>
        <v>429.43412623500365</v>
      </c>
      <c r="R16" s="27">
        <f t="shared" si="1"/>
        <v>415.35710036777783</v>
      </c>
    </row>
    <row r="18" spans="1:18" x14ac:dyDescent="0.3">
      <c r="A18" s="3" t="s">
        <v>160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t="s">
        <v>161</v>
      </c>
      <c r="C19" s="10">
        <f>MAX(Assumptions!$C$82+(('Supply &amp; Utilization'!C33-Assumptions!$C$87)*Assumptions!$C$86/0.01),0.02)</f>
        <v>0.19309510869565222</v>
      </c>
      <c r="D19" s="10">
        <f>MAX(Assumptions!$C$82+(('Supply &amp; Utilization'!D33-Assumptions!$C$87)*Assumptions!$C$86/0.01),0.02)</f>
        <v>0.19434694000000008</v>
      </c>
      <c r="E19" s="10">
        <f>MAX(Assumptions!$C$82+(('Supply &amp; Utilization'!E33-Assumptions!$C$87)*Assumptions!$C$86/0.01),0.02)</f>
        <v>0.20282575387140656</v>
      </c>
      <c r="F19" s="10">
        <f>MAX(Assumptions!$C$82+(('Supply &amp; Utilization'!F33-Assumptions!$C$87)*Assumptions!$C$86/0.01),0.02)</f>
        <v>0.19481670049932631</v>
      </c>
      <c r="G19" s="10">
        <f>MAX(Assumptions!$C$82+(('Supply &amp; Utilization'!G33-Assumptions!$C$87)*Assumptions!$C$86/0.01),0.02)</f>
        <v>0.18282011512045143</v>
      </c>
      <c r="H19" s="10">
        <f>MAX(Assumptions!$C$82+(('Supply &amp; Utilization'!H33-Assumptions!$C$87)*Assumptions!$C$86/0.01),0.02)</f>
        <v>0.16823127706231272</v>
      </c>
      <c r="I19" s="10">
        <f>MAX(Assumptions!$C$82+(('Supply &amp; Utilization'!I33-Assumptions!$C$87)*Assumptions!$C$86/0.01),0.02)</f>
        <v>0.15283250782646757</v>
      </c>
      <c r="J19" s="10">
        <f>MAX(Assumptions!$C$82+(('Supply &amp; Utilization'!J33-Assumptions!$C$87)*Assumptions!$C$86/0.01),0.02)</f>
        <v>0.13828016669797599</v>
      </c>
      <c r="K19" s="10">
        <f>MAX(Assumptions!$C$82+(('Supply &amp; Utilization'!K33-Assumptions!$C$87)*Assumptions!$C$86/0.01),0.02)</f>
        <v>0.12611359108059034</v>
      </c>
      <c r="L19" s="10">
        <f>MAX(Assumptions!$C$82+(('Supply &amp; Utilization'!L33-Assumptions!$C$87)*Assumptions!$C$86/0.01),0.02)</f>
        <v>0.11789890023183552</v>
      </c>
      <c r="M19" s="10">
        <f>MAX(Assumptions!$C$82+(('Supply &amp; Utilization'!M33-Assumptions!$C$87)*Assumptions!$C$86/0.01),0.02)</f>
        <v>0.10451716655398308</v>
      </c>
      <c r="N19" s="10">
        <f>MAX(Assumptions!$C$82+(('Supply &amp; Utilization'!N33-Assumptions!$C$87)*Assumptions!$C$86/0.01),0.02)</f>
        <v>8.3694569850594591E-2</v>
      </c>
      <c r="O19" s="10">
        <f>MAX(Assumptions!$C$82+(('Supply &amp; Utilization'!O33-Assumptions!$C$87)*Assumptions!$C$86/0.01),0.02)</f>
        <v>6.6475780773613546E-2</v>
      </c>
      <c r="P19" s="10">
        <f>MAX(Assumptions!$C$82+(('Supply &amp; Utilization'!P33-Assumptions!$C$87)*Assumptions!$C$86/0.01),0.02)</f>
        <v>5.3533799782955249E-2</v>
      </c>
      <c r="Q19" s="10">
        <f>MAX(Assumptions!$C$82+(('Supply &amp; Utilization'!Q33-Assumptions!$C$87)*Assumptions!$C$86/0.01),0.02)</f>
        <v>4.6145511851657883E-2</v>
      </c>
      <c r="R19" s="10">
        <f>MAX(Assumptions!$C$82+(('Supply &amp; Utilization'!R33-Assumptions!$C$87)*Assumptions!$C$86/0.01),0.02)</f>
        <v>4.662218836916221E-2</v>
      </c>
    </row>
    <row r="20" spans="1:18" x14ac:dyDescent="0.3">
      <c r="A20" t="s">
        <v>162</v>
      </c>
      <c r="C20" s="10">
        <f>MAX(Assumptions!$C$83+(('Supply &amp; Utilization'!C34-Assumptions!$C$87)*Assumptions!$C$86/0.01),0.02)</f>
        <v>0.255</v>
      </c>
      <c r="D20" s="10">
        <f>MAX(Assumptions!$C$83+(('Supply &amp; Utilization'!D34-Assumptions!$C$87)*Assumptions!$C$86/0.01),0.02)</f>
        <v>0.18908399431818185</v>
      </c>
      <c r="E20" s="10">
        <f>MAX(Assumptions!$C$83+(('Supply &amp; Utilization'!E34-Assumptions!$C$87)*Assumptions!$C$86/0.01),0.02)</f>
        <v>8.7377062752307666E-2</v>
      </c>
      <c r="F20" s="10">
        <f>MAX(Assumptions!$C$83+(('Supply &amp; Utilization'!F34-Assumptions!$C$87)*Assumptions!$C$86/0.01),0.02)</f>
        <v>6.8442606751244195E-2</v>
      </c>
      <c r="G20" s="10">
        <f>MAX(Assumptions!$C$83+(('Supply &amp; Utilization'!G34-Assumptions!$C$87)*Assumptions!$C$86/0.01),0.02)</f>
        <v>4.8100059216588553E-2</v>
      </c>
      <c r="H20" s="10">
        <f>MAX(Assumptions!$C$83+(('Supply &amp; Utilization'!H34-Assumptions!$C$87)*Assumptions!$C$86/0.01),0.02)</f>
        <v>2.7398672746283326E-2</v>
      </c>
      <c r="I20" s="10">
        <f>MAX(Assumptions!$C$83+(('Supply &amp; Utilization'!I34-Assumptions!$C$87)*Assumptions!$C$86/0.01),0.02)</f>
        <v>0.02</v>
      </c>
      <c r="J20" s="10">
        <f>MAX(Assumptions!$C$83+(('Supply &amp; Utilization'!J34-Assumptions!$C$87)*Assumptions!$C$86/0.01),0.02)</f>
        <v>0.02</v>
      </c>
      <c r="K20" s="10">
        <f>MAX(Assumptions!$C$83+(('Supply &amp; Utilization'!K34-Assumptions!$C$87)*Assumptions!$C$86/0.01),0.02)</f>
        <v>0.02</v>
      </c>
      <c r="L20" s="10">
        <f>MAX(Assumptions!$C$83+(('Supply &amp; Utilization'!L34-Assumptions!$C$87)*Assumptions!$C$86/0.01),0.02)</f>
        <v>0.02</v>
      </c>
      <c r="M20" s="10">
        <f>MAX(Assumptions!$C$83+(('Supply &amp; Utilization'!M34-Assumptions!$C$87)*Assumptions!$C$86/0.01),0.02)</f>
        <v>0.02</v>
      </c>
      <c r="N20" s="10">
        <f>MAX(Assumptions!$C$83+(('Supply &amp; Utilization'!N34-Assumptions!$C$87)*Assumptions!$C$86/0.01),0.02)</f>
        <v>0.02</v>
      </c>
      <c r="O20" s="10">
        <f>MAX(Assumptions!$C$83+(('Supply &amp; Utilization'!O34-Assumptions!$C$87)*Assumptions!$C$86/0.01),0.02)</f>
        <v>0.02</v>
      </c>
      <c r="P20" s="10">
        <f>MAX(Assumptions!$C$83+(('Supply &amp; Utilization'!P34-Assumptions!$C$87)*Assumptions!$C$86/0.01),0.02)</f>
        <v>0.02</v>
      </c>
      <c r="Q20" s="10">
        <f>MAX(Assumptions!$C$83+(('Supply &amp; Utilization'!Q34-Assumptions!$C$87)*Assumptions!$C$86/0.01),0.02)</f>
        <v>0.02</v>
      </c>
      <c r="R20" s="10">
        <f>MAX(Assumptions!$C$83+(('Supply &amp; Utilization'!R34-Assumptions!$C$87)*Assumptions!$C$86/0.01),0.02)</f>
        <v>0.02</v>
      </c>
    </row>
    <row r="21" spans="1:18" x14ac:dyDescent="0.3">
      <c r="A21" t="s">
        <v>163</v>
      </c>
      <c r="C21" s="10">
        <f>MAX(Assumptions!$C$84+(('Supply &amp; Utilization'!C35-Assumptions!$C$87)*Assumptions!$C$86/0.01),0.02)</f>
        <v>0.27500000000000002</v>
      </c>
      <c r="D21" s="10">
        <f>MAX(Assumptions!$C$84+(('Supply &amp; Utilization'!D35-Assumptions!$C$87)*Assumptions!$C$86/0.01),0.02)</f>
        <v>0.02</v>
      </c>
      <c r="E21" s="10">
        <f>MAX(Assumptions!$C$84+(('Supply &amp; Utilization'!E35-Assumptions!$C$87)*Assumptions!$C$86/0.01),0.02)</f>
        <v>0.02</v>
      </c>
      <c r="F21" s="10">
        <f>MAX(Assumptions!$C$84+(('Supply &amp; Utilization'!F35-Assumptions!$C$87)*Assumptions!$C$86/0.01),0.02)</f>
        <v>0.02</v>
      </c>
      <c r="G21" s="10">
        <f>MAX(Assumptions!$C$84+(('Supply &amp; Utilization'!G35-Assumptions!$C$87)*Assumptions!$C$86/0.01),0.02)</f>
        <v>0.02</v>
      </c>
      <c r="H21" s="10">
        <f>MAX(Assumptions!$C$84+(('Supply &amp; Utilization'!H35-Assumptions!$C$87)*Assumptions!$C$86/0.01),0.02)</f>
        <v>0.02</v>
      </c>
      <c r="I21" s="10">
        <f>MAX(Assumptions!$C$84+(('Supply &amp; Utilization'!I35-Assumptions!$C$87)*Assumptions!$C$86/0.01),0.02)</f>
        <v>0.02</v>
      </c>
      <c r="J21" s="10">
        <f>MAX(Assumptions!$C$84+(('Supply &amp; Utilization'!J35-Assumptions!$C$87)*Assumptions!$C$86/0.01),0.02)</f>
        <v>0.02</v>
      </c>
      <c r="K21" s="10">
        <f>MAX(Assumptions!$C$84+(('Supply &amp; Utilization'!K35-Assumptions!$C$87)*Assumptions!$C$86/0.01),0.02)</f>
        <v>0.02</v>
      </c>
      <c r="L21" s="10">
        <f>MAX(Assumptions!$C$84+(('Supply &amp; Utilization'!L35-Assumptions!$C$87)*Assumptions!$C$86/0.01),0.02)</f>
        <v>0.02</v>
      </c>
      <c r="M21" s="10">
        <f>MAX(Assumptions!$C$84+(('Supply &amp; Utilization'!M35-Assumptions!$C$87)*Assumptions!$C$86/0.01),0.02)</f>
        <v>0.02</v>
      </c>
      <c r="N21" s="10">
        <f>MAX(Assumptions!$C$84+(('Supply &amp; Utilization'!N35-Assumptions!$C$87)*Assumptions!$C$86/0.01),0.02)</f>
        <v>0.02</v>
      </c>
      <c r="O21" s="10">
        <f>MAX(Assumptions!$C$84+(('Supply &amp; Utilization'!O35-Assumptions!$C$87)*Assumptions!$C$86/0.01),0.02)</f>
        <v>0.02</v>
      </c>
      <c r="P21" s="10">
        <f>MAX(Assumptions!$C$84+(('Supply &amp; Utilization'!P35-Assumptions!$C$87)*Assumptions!$C$86/0.01),0.02)</f>
        <v>0.02</v>
      </c>
      <c r="Q21" s="10">
        <f>MAX(Assumptions!$C$84+(('Supply &amp; Utilization'!Q35-Assumptions!$C$87)*Assumptions!$C$86/0.01),0.02)</f>
        <v>0.02</v>
      </c>
      <c r="R21" s="10">
        <f>MAX(Assumptions!$C$84+(('Supply &amp; Utilization'!R35-Assumptions!$C$87)*Assumptions!$C$86/0.01),0.02)</f>
        <v>0.02</v>
      </c>
    </row>
    <row r="22" spans="1:18" x14ac:dyDescent="0.3">
      <c r="A22" t="s">
        <v>164</v>
      </c>
      <c r="C22" s="27">
        <f>C13*C19</f>
        <v>91.080306066588193</v>
      </c>
      <c r="D22" s="27">
        <f t="shared" ref="D22:R22" si="2">D13*D19</f>
        <v>83.479219971767705</v>
      </c>
      <c r="E22" s="27">
        <f t="shared" si="2"/>
        <v>77.975831487289213</v>
      </c>
      <c r="F22" s="27">
        <f t="shared" si="2"/>
        <v>64.172224442763863</v>
      </c>
      <c r="G22" s="27">
        <f t="shared" si="2"/>
        <v>50.698394905032593</v>
      </c>
      <c r="H22" s="27">
        <f t="shared" si="2"/>
        <v>38.598504385723189</v>
      </c>
      <c r="I22" s="27">
        <f t="shared" si="2"/>
        <v>28.725777162910887</v>
      </c>
      <c r="J22" s="27">
        <f t="shared" si="2"/>
        <v>21.289096684861963</v>
      </c>
      <c r="K22" s="27">
        <f t="shared" si="2"/>
        <v>16.085948128791749</v>
      </c>
      <c r="L22" s="27">
        <f t="shared" si="2"/>
        <v>12.750765294724934</v>
      </c>
      <c r="M22" s="27">
        <f t="shared" si="2"/>
        <v>9.6421690955293773</v>
      </c>
      <c r="N22" s="27">
        <f t="shared" si="2"/>
        <v>6.6263105757740748</v>
      </c>
      <c r="O22" s="27">
        <f t="shared" si="2"/>
        <v>4.6327249867493192</v>
      </c>
      <c r="P22" s="27">
        <f t="shared" si="2"/>
        <v>3.3453938304140305</v>
      </c>
      <c r="Q22" s="27">
        <f t="shared" si="2"/>
        <v>2.6236260579497435</v>
      </c>
      <c r="R22" s="27">
        <f t="shared" si="2"/>
        <v>2.4462400820149255</v>
      </c>
    </row>
    <row r="23" spans="1:18" x14ac:dyDescent="0.3">
      <c r="A23" t="s">
        <v>165</v>
      </c>
      <c r="C23" s="27">
        <f>C14*C20</f>
        <v>96.42809940329461</v>
      </c>
      <c r="D23" s="27">
        <f t="shared" ref="D23:R23" si="3">D14*D20</f>
        <v>92.219403501805061</v>
      </c>
      <c r="E23" s="27">
        <f t="shared" si="3"/>
        <v>40.377677894738191</v>
      </c>
      <c r="F23" s="27">
        <f t="shared" si="3"/>
        <v>29.886356288139321</v>
      </c>
      <c r="G23" s="27">
        <f t="shared" si="3"/>
        <v>19.244711330872072</v>
      </c>
      <c r="H23" s="27">
        <f t="shared" si="3"/>
        <v>9.7754342668812431</v>
      </c>
      <c r="I23" s="27">
        <f t="shared" si="3"/>
        <v>6.2450181847263675</v>
      </c>
      <c r="J23" s="27">
        <f t="shared" si="3"/>
        <v>5.4187654507870118</v>
      </c>
      <c r="K23" s="27">
        <f t="shared" si="3"/>
        <v>4.7138768341534147</v>
      </c>
      <c r="L23" s="27">
        <f t="shared" si="3"/>
        <v>4.1538959089011218</v>
      </c>
      <c r="M23" s="27">
        <f t="shared" si="3"/>
        <v>3.7334432562549034</v>
      </c>
      <c r="N23" s="27">
        <f t="shared" si="3"/>
        <v>3.4884599992783554</v>
      </c>
      <c r="O23" s="27">
        <f t="shared" si="3"/>
        <v>3.3391929193981094</v>
      </c>
      <c r="P23" s="27">
        <f t="shared" si="3"/>
        <v>3.2435886586661606</v>
      </c>
      <c r="Q23" s="27">
        <f t="shared" si="3"/>
        <v>3.1994743509487309</v>
      </c>
      <c r="R23" s="27">
        <f t="shared" si="3"/>
        <v>3.165108562786187</v>
      </c>
    </row>
    <row r="24" spans="1:18" x14ac:dyDescent="0.3">
      <c r="A24" t="s">
        <v>166</v>
      </c>
      <c r="C24" s="27">
        <f>C15*C21</f>
        <v>46.218261151905921</v>
      </c>
      <c r="D24" s="27">
        <f t="shared" ref="D24:R24" si="4">D15*D21</f>
        <v>3.0518481075603558</v>
      </c>
      <c r="E24" s="27">
        <f t="shared" si="4"/>
        <v>3.0466620856388857</v>
      </c>
      <c r="F24" s="27">
        <f t="shared" si="4"/>
        <v>2.8145321835215493</v>
      </c>
      <c r="G24" s="27">
        <f t="shared" si="4"/>
        <v>4.612113554384087</v>
      </c>
      <c r="H24" s="27">
        <f t="shared" si="4"/>
        <v>5.5240815411852946</v>
      </c>
      <c r="I24" s="27">
        <f t="shared" si="4"/>
        <v>5.8144097671331059</v>
      </c>
      <c r="J24" s="27">
        <f t="shared" si="4"/>
        <v>5.7392614393836547</v>
      </c>
      <c r="K24" s="27">
        <f t="shared" si="4"/>
        <v>5.50059800058051</v>
      </c>
      <c r="L24" s="27">
        <f t="shared" si="4"/>
        <v>5.2335750021948435</v>
      </c>
      <c r="M24" s="27">
        <f t="shared" si="4"/>
        <v>4.9498833233125534</v>
      </c>
      <c r="N24" s="27">
        <f t="shared" si="4"/>
        <v>4.6805288948919346</v>
      </c>
      <c r="O24" s="27">
        <f t="shared" si="4"/>
        <v>4.519840570356445</v>
      </c>
      <c r="P24" s="27">
        <f t="shared" si="4"/>
        <v>4.4231593640875175</v>
      </c>
      <c r="Q24" s="27">
        <f t="shared" si="4"/>
        <v>4.2520982132490905</v>
      </c>
      <c r="R24" s="27">
        <f t="shared" si="4"/>
        <v>4.0926446588499212</v>
      </c>
    </row>
    <row r="25" spans="1:18" x14ac:dyDescent="0.3">
      <c r="A25" s="2" t="s">
        <v>167</v>
      </c>
      <c r="C25" s="27">
        <f>C22+C23+C24</f>
        <v>233.72666662178872</v>
      </c>
      <c r="D25" s="27">
        <f t="shared" ref="D25:R25" si="5">D22+D23+D24</f>
        <v>178.7504715811331</v>
      </c>
      <c r="E25" s="27">
        <f t="shared" si="5"/>
        <v>121.40017146766628</v>
      </c>
      <c r="F25" s="27">
        <f t="shared" si="5"/>
        <v>96.873112914424738</v>
      </c>
      <c r="G25" s="27">
        <f t="shared" si="5"/>
        <v>74.555219790288746</v>
      </c>
      <c r="H25" s="27">
        <f t="shared" si="5"/>
        <v>53.898020193789726</v>
      </c>
      <c r="I25" s="27">
        <f t="shared" si="5"/>
        <v>40.785205114770363</v>
      </c>
      <c r="J25" s="27">
        <f t="shared" si="5"/>
        <v>32.447123575032627</v>
      </c>
      <c r="K25" s="27">
        <f t="shared" si="5"/>
        <v>26.300422963525673</v>
      </c>
      <c r="L25" s="27">
        <f t="shared" si="5"/>
        <v>22.138236205820899</v>
      </c>
      <c r="M25" s="27">
        <f t="shared" si="5"/>
        <v>18.325495675096832</v>
      </c>
      <c r="N25" s="27">
        <f t="shared" si="5"/>
        <v>14.795299469944364</v>
      </c>
      <c r="O25" s="27">
        <f t="shared" si="5"/>
        <v>12.491758476503874</v>
      </c>
      <c r="P25" s="27">
        <f t="shared" si="5"/>
        <v>11.012141853167709</v>
      </c>
      <c r="Q25" s="27">
        <f t="shared" si="5"/>
        <v>10.075198622147564</v>
      </c>
      <c r="R25" s="27">
        <f t="shared" si="5"/>
        <v>9.7039933036510337</v>
      </c>
    </row>
    <row r="27" spans="1:18" x14ac:dyDescent="0.3">
      <c r="A27" s="3" t="s">
        <v>168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t="s">
        <v>169</v>
      </c>
      <c r="C28" s="28">
        <f>-'Supply &amp; Utilization'!C6*Assumptions!$D$74/1000*C6</f>
        <v>-16.718405556675783</v>
      </c>
      <c r="D28" s="28">
        <f>-'Supply &amp; Utilization'!D6*Assumptions!$D$74/1000*D6</f>
        <v>-15.185528161961312</v>
      </c>
      <c r="E28" s="28">
        <f>-'Supply &amp; Utilization'!E6*Assumptions!$D$74/1000*E6</f>
        <v>-13.35997540721824</v>
      </c>
      <c r="F28" s="28">
        <f>-'Supply &amp; Utilization'!F6*Assumptions!$D$74/1000*F6</f>
        <v>-11.634116939080506</v>
      </c>
      <c r="G28" s="28">
        <f>-'Supply &amp; Utilization'!G6*Assumptions!$D$74/1000*G6</f>
        <v>-10.040420607097765</v>
      </c>
      <c r="H28" s="28">
        <f>-'Supply &amp; Utilization'!H6*Assumptions!$D$74/1000*H6</f>
        <v>-8.5686413117608851</v>
      </c>
      <c r="I28" s="28">
        <f>-'Supply &amp; Utilization'!I6*Assumptions!$D$74/1000*I6</f>
        <v>-7.2608344585321021</v>
      </c>
      <c r="J28" s="28">
        <f>-'Supply &amp; Utilization'!J6*Assumptions!$D$74/1000*J6</f>
        <v>-6.1471616430424083</v>
      </c>
      <c r="K28" s="28">
        <f>-'Supply &amp; Utilization'!K6*Assumptions!$D$74/1000*K6</f>
        <v>-5.2400039763061201</v>
      </c>
      <c r="L28" s="28">
        <f>-'Supply &amp; Utilization'!L6*Assumptions!$D$74/1000*L6</f>
        <v>-4.5313632142043447</v>
      </c>
      <c r="M28" s="28">
        <f>-'Supply &amp; Utilization'!M6*Assumptions!$D$74/1000*M6</f>
        <v>-3.9948251384852829</v>
      </c>
      <c r="N28" s="28">
        <f>-'Supply &amp; Utilization'!N6*Assumptions!$D$74/1000*N6</f>
        <v>-3.616858605713646</v>
      </c>
      <c r="O28" s="28">
        <f>-'Supply &amp; Utilization'!O6*Assumptions!$D$74/1000*O6</f>
        <v>-3.335338922697805</v>
      </c>
      <c r="P28" s="28">
        <f>-'Supply &amp; Utilization'!P6*Assumptions!$D$74/1000*P6</f>
        <v>-3.1018470795156152</v>
      </c>
      <c r="Q28" s="28">
        <f>-'Supply &amp; Utilization'!Q6*Assumptions!$D$74/1000*Q6</f>
        <v>-2.8832274840600904</v>
      </c>
      <c r="R28" s="28">
        <f>-'Supply &amp; Utilization'!R6*Assumptions!$D$74/1000*R6</f>
        <v>-2.6570911684062657</v>
      </c>
    </row>
    <row r="29" spans="1:18" x14ac:dyDescent="0.3">
      <c r="A29" t="s">
        <v>170</v>
      </c>
      <c r="C29" s="28">
        <f>-'Supply &amp; Utilization'!C13*Assumptions!$D$75/1000*C6</f>
        <v>-11.344482282740543</v>
      </c>
      <c r="D29" s="28">
        <f>-'Supply &amp; Utilization'!D13*Assumptions!$D$75/1000*D6</f>
        <v>-17.555523886660477</v>
      </c>
      <c r="E29" s="28">
        <f>-'Supply &amp; Utilization'!E13*Assumptions!$D$75/1000*E6</f>
        <v>-22.628806308771317</v>
      </c>
      <c r="F29" s="28">
        <f>-'Supply &amp; Utilization'!F13*Assumptions!$D$75/1000*F6</f>
        <v>-23.61924205875642</v>
      </c>
      <c r="G29" s="28">
        <f>-'Supply &amp; Utilization'!G13*Assumptions!$D$75/1000*G6</f>
        <v>-24.107724001035095</v>
      </c>
      <c r="H29" s="28">
        <f>-'Supply &amp; Utilization'!H13*Assumptions!$D$75/1000*H6</f>
        <v>-24.095538761396018</v>
      </c>
      <c r="I29" s="28">
        <f>-'Supply &amp; Utilization'!I13*Assumptions!$D$75/1000*I6</f>
        <v>-23.743108551434457</v>
      </c>
      <c r="J29" s="28">
        <f>-'Supply &amp; Utilization'!J13*Assumptions!$D$75/1000*J6</f>
        <v>-23.257784461327031</v>
      </c>
      <c r="K29" s="28">
        <f>-'Supply &amp; Utilization'!K13*Assumptions!$D$75/1000*K6</f>
        <v>-22.863340116644267</v>
      </c>
      <c r="L29" s="28">
        <f>-'Supply &amp; Utilization'!L13*Assumptions!$D$75/1000*L6</f>
        <v>-22.760684273061489</v>
      </c>
      <c r="M29" s="28">
        <f>-'Supply &amp; Utilization'!M13*Assumptions!$D$75/1000*M6</f>
        <v>-23.09147478893227</v>
      </c>
      <c r="N29" s="28">
        <f>-'Supply &amp; Utilization'!N13*Assumptions!$D$75/1000*N6</f>
        <v>-24.084515108567171</v>
      </c>
      <c r="O29" s="28">
        <f>-'Supply &amp; Utilization'!O13*Assumptions!$D$75/1000*O6</f>
        <v>-25.650005286391767</v>
      </c>
      <c r="P29" s="28">
        <f>-'Supply &amp; Utilization'!P13*Assumptions!$D$75/1000*P6</f>
        <v>-27.663045795845289</v>
      </c>
      <c r="Q29" s="28">
        <f>-'Supply &amp; Utilization'!Q13*Assumptions!$D$75/1000*Q6</f>
        <v>-29.998898678081865</v>
      </c>
      <c r="R29" s="28">
        <f>-'Supply &amp; Utilization'!R13*Assumptions!$D$75/1000*R6</f>
        <v>-32.524747386135864</v>
      </c>
    </row>
    <row r="30" spans="1:18" x14ac:dyDescent="0.3">
      <c r="A30" t="s">
        <v>171</v>
      </c>
      <c r="C30" s="28">
        <f>-'Supply &amp; Utilization'!C20*Assumptions!$D$76/1000*C6</f>
        <v>-6.3024901570780791</v>
      </c>
      <c r="D30" s="28">
        <f>-'Supply &amp; Utilization'!D20*Assumptions!$D$76/1000*D6</f>
        <v>-14.62960323888373</v>
      </c>
      <c r="E30" s="28">
        <f>-'Supply &amp; Utilization'!E20*Assumptions!$D$76/1000*E6</f>
        <v>-32.326866155387599</v>
      </c>
      <c r="F30" s="28">
        <f>-'Supply &amp; Utilization'!F20*Assumptions!$D$76/1000*F6</f>
        <v>-49.206754289075874</v>
      </c>
      <c r="G30" s="28">
        <f>-'Supply &amp; Utilization'!G20*Assumptions!$D$76/1000*G6</f>
        <v>-62.501506669350249</v>
      </c>
      <c r="H30" s="28">
        <f>-'Supply &amp; Utilization'!H20*Assumptions!$D$76/1000*H6</f>
        <v>-72.286616284188057</v>
      </c>
      <c r="I30" s="28">
        <f>-'Supply &amp; Utilization'!I20*Assumptions!$D$76/1000*I6</f>
        <v>-79.143695171448186</v>
      </c>
      <c r="J30" s="28">
        <f>-'Supply &amp; Utilization'!J20*Assumptions!$D$76/1000*J6</f>
        <v>-83.986443888125393</v>
      </c>
      <c r="K30" s="28">
        <f>-'Supply &amp; Utilization'!K20*Assumptions!$D$76/1000*K6</f>
        <v>-87.93592352555487</v>
      </c>
      <c r="L30" s="28">
        <f>-'Supply &amp; Utilization'!L20*Assumptions!$D$76/1000*L6</f>
        <v>-92.126579200486972</v>
      </c>
      <c r="M30" s="28">
        <f>-'Supply &amp; Utilization'!M20*Assumptions!$D$76/1000*M6</f>
        <v>-97.497337997714027</v>
      </c>
      <c r="N30" s="28">
        <f>-'Supply &amp; Utilization'!N20*Assumptions!$D$76/1000*N6</f>
        <v>-105.36975359998137</v>
      </c>
      <c r="O30" s="28">
        <f>-'Supply &amp; Utilization'!O20*Assumptions!$D$76/1000*O6</f>
        <v>-115.67649442882561</v>
      </c>
      <c r="P30" s="28">
        <f>-'Supply &amp; Utilization'!P20*Assumptions!$D$76/1000*P6</f>
        <v>-128.06965646224671</v>
      </c>
      <c r="Q30" s="28">
        <f>-'Supply &amp; Utilization'!Q20*Assumptions!$D$76/1000*Q6</f>
        <v>-142.10004636986147</v>
      </c>
      <c r="R30" s="28">
        <f>-'Supply &amp; Utilization'!R20*Assumptions!$D$76/1000*R6</f>
        <v>-157.20294569965665</v>
      </c>
    </row>
    <row r="31" spans="1:18" x14ac:dyDescent="0.3">
      <c r="A31" s="2" t="s">
        <v>172</v>
      </c>
      <c r="C31" s="28">
        <f>C28+C29+C30</f>
        <v>-34.365377996494402</v>
      </c>
      <c r="D31" s="28">
        <f t="shared" ref="D31:R31" si="6">D28+D29+D30</f>
        <v>-47.370655287505521</v>
      </c>
      <c r="E31" s="28">
        <f t="shared" si="6"/>
        <v>-68.315647871377166</v>
      </c>
      <c r="F31" s="28">
        <f t="shared" si="6"/>
        <v>-84.460113286912801</v>
      </c>
      <c r="G31" s="28">
        <f t="shared" si="6"/>
        <v>-96.649651277483116</v>
      </c>
      <c r="H31" s="28">
        <f t="shared" si="6"/>
        <v>-104.95079635734496</v>
      </c>
      <c r="I31" s="28">
        <f t="shared" si="6"/>
        <v>-110.14763818141475</v>
      </c>
      <c r="J31" s="28">
        <f t="shared" si="6"/>
        <v>-113.39138999249484</v>
      </c>
      <c r="K31" s="28">
        <f t="shared" si="6"/>
        <v>-116.03926761850525</v>
      </c>
      <c r="L31" s="28">
        <f t="shared" si="6"/>
        <v>-119.41862668775281</v>
      </c>
      <c r="M31" s="28">
        <f t="shared" si="6"/>
        <v>-124.58363792513158</v>
      </c>
      <c r="N31" s="28">
        <f t="shared" si="6"/>
        <v>-133.07112731426218</v>
      </c>
      <c r="O31" s="28">
        <f t="shared" si="6"/>
        <v>-144.66183863791517</v>
      </c>
      <c r="P31" s="28">
        <f t="shared" si="6"/>
        <v>-158.83454933760763</v>
      </c>
      <c r="Q31" s="28">
        <f t="shared" si="6"/>
        <v>-174.98217253200343</v>
      </c>
      <c r="R31" s="28">
        <f t="shared" si="6"/>
        <v>-192.38478425419879</v>
      </c>
    </row>
    <row r="32" spans="1:18" x14ac:dyDescent="0.3"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1:18" x14ac:dyDescent="0.3">
      <c r="A33" s="2" t="s">
        <v>173</v>
      </c>
      <c r="C33" s="28">
        <f>C25+C31</f>
        <v>199.36128862529432</v>
      </c>
      <c r="D33" s="28">
        <f t="shared" ref="D33:R33" si="7">D25+D31</f>
        <v>131.37981629362758</v>
      </c>
      <c r="E33" s="28">
        <f t="shared" si="7"/>
        <v>53.084523596289117</v>
      </c>
      <c r="F33" s="28">
        <f t="shared" si="7"/>
        <v>12.412999627511937</v>
      </c>
      <c r="G33" s="28">
        <f t="shared" si="7"/>
        <v>-22.09443148719437</v>
      </c>
      <c r="H33" s="28">
        <f t="shared" si="7"/>
        <v>-51.05277616355523</v>
      </c>
      <c r="I33" s="28">
        <f t="shared" si="7"/>
        <v>-69.362433066644385</v>
      </c>
      <c r="J33" s="28">
        <f t="shared" si="7"/>
        <v>-80.944266417462217</v>
      </c>
      <c r="K33" s="28">
        <f t="shared" si="7"/>
        <v>-89.738844654979573</v>
      </c>
      <c r="L33" s="28">
        <f t="shared" si="7"/>
        <v>-97.280390481931903</v>
      </c>
      <c r="M33" s="28">
        <f t="shared" si="7"/>
        <v>-106.25814225003475</v>
      </c>
      <c r="N33" s="28">
        <f t="shared" si="7"/>
        <v>-118.27582784431782</v>
      </c>
      <c r="O33" s="28">
        <f t="shared" si="7"/>
        <v>-132.17008016141131</v>
      </c>
      <c r="P33" s="28">
        <f t="shared" si="7"/>
        <v>-147.82240748443991</v>
      </c>
      <c r="Q33" s="28">
        <f t="shared" si="7"/>
        <v>-164.90697390985588</v>
      </c>
      <c r="R33" s="28">
        <f t="shared" si="7"/>
        <v>-182.68079095054776</v>
      </c>
    </row>
    <row r="34" spans="1:18" x14ac:dyDescent="0.3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 spans="1:18" x14ac:dyDescent="0.3">
      <c r="A35" s="2" t="s">
        <v>174</v>
      </c>
      <c r="C35" s="28">
        <f>-MAX('Supply &amp; Utilization'!C13-'Supply &amp; Utilization'!C13,0)*Assumptions!$C$75/1000*C6</f>
        <v>0</v>
      </c>
      <c r="D35" s="28">
        <f>-MAX('Supply &amp; Utilization'!D13-'Supply &amp; Utilization'!C13,0)*Assumptions!$C$75/1000*D6</f>
        <v>-46.814730364427938</v>
      </c>
      <c r="E35" s="28">
        <f>-MAX('Supply &amp; Utilization'!E13-'Supply &amp; Utilization'!D13,0)*Assumptions!$C$75/1000*E6</f>
        <v>-43.102488207183463</v>
      </c>
      <c r="F35" s="28">
        <f>-MAX('Supply &amp; Utilization'!F13-'Supply &amp; Utilization'!E13,0)*Assumptions!$C$75/1000*F6</f>
        <v>-19.682701715630351</v>
      </c>
      <c r="G35" s="28">
        <f>-MAX('Supply &amp; Utilization'!G13-'Supply &amp; Utilization'!F13,0)*Assumptions!$C$75/1000*G6</f>
        <v>-17.857573334100071</v>
      </c>
      <c r="H35" s="28">
        <f>-MAX('Supply &amp; Utilization'!H13-'Supply &amp; Utilization'!G13,0)*Assumptions!$C$75/1000*H6</f>
        <v>-16.063692507597345</v>
      </c>
      <c r="I35" s="28">
        <f>-MAX('Supply &amp; Utilization'!I13-'Supply &amp; Utilization'!H13,0)*Assumptions!$C$75/1000*I6</f>
        <v>-14.389762758445125</v>
      </c>
      <c r="J35" s="28">
        <f>-MAX('Supply &amp; Utilization'!J13-'Supply &amp; Utilization'!I13,0)*Assumptions!$C$75/1000*J6</f>
        <v>-12.920991367403905</v>
      </c>
      <c r="K35" s="28">
        <f>-MAX('Supply &amp; Utilization'!K13-'Supply &amp; Utilization'!J13,0)*Assumptions!$C$75/1000*K6</f>
        <v>-11.724789803407315</v>
      </c>
      <c r="L35" s="28">
        <f>-MAX('Supply &amp; Utilization'!L13-'Supply &amp; Utilization'!K13,0)*Assumptions!$C$75/1000*L6</f>
        <v>-10.838421082410232</v>
      </c>
      <c r="M35" s="28">
        <f>-MAX('Supply &amp; Utilization'!M13-'Supply &amp; Utilization'!L13,0)*Assumptions!$C$75/1000*M6</f>
        <v>-10.262877683969897</v>
      </c>
      <c r="N35" s="28">
        <f>-MAX('Supply &amp; Utilization'!N13-'Supply &amp; Utilization'!M13,0)*Assumptions!$C$75/1000*N6</f>
        <v>-10.035214628569655</v>
      </c>
      <c r="O35" s="28">
        <f>-MAX('Supply &amp; Utilization'!O13-'Supply &amp; Utilization'!N13,0)*Assumptions!$C$75/1000*O6</f>
        <v>-10.058825602506575</v>
      </c>
      <c r="P35" s="28">
        <f>-MAX('Supply &amp; Utilization'!P13-'Supply &amp; Utilization'!O13,0)*Assumptions!$C$75/1000*P6</f>
        <v>-10.245572516979736</v>
      </c>
      <c r="Q35" s="28">
        <f>-MAX('Supply &amp; Utilization'!Q13-'Supply &amp; Utilization'!P13,0)*Assumptions!$C$75/1000*Q6</f>
        <v>-10.52592936073048</v>
      </c>
      <c r="R35" s="28">
        <f>-MAX('Supply &amp; Utilization'!R13-'Supply &amp; Utilization'!Q13,0)*Assumptions!$C$75/1000*R6</f>
        <v>-10.841582462045288</v>
      </c>
    </row>
    <row r="36" spans="1:18" x14ac:dyDescent="0.3">
      <c r="A36" t="s">
        <v>175</v>
      </c>
      <c r="C36" s="28">
        <f>-MAX('Supply &amp; Utilization'!C20-'Supply &amp; Utilization'!C20,0)*Assumptions!$C$76/1000*C6</f>
        <v>0</v>
      </c>
      <c r="D36" s="28">
        <f>-MAX('Supply &amp; Utilization'!D20-'Supply &amp; Utilization'!C20,0)*Assumptions!$C$76/1000*D6</f>
        <v>-23.407365182213969</v>
      </c>
      <c r="E36" s="28">
        <f>-MAX('Supply &amp; Utilization'!E20-'Supply &amp; Utilization'!D20,0)*Assumptions!$C$76/1000*E6</f>
        <v>-50.286236241714036</v>
      </c>
      <c r="F36" s="28">
        <f>-MAX('Supply &amp; Utilization'!F20-'Supply &amp; Utilization'!E20,0)*Assumptions!$C$76/1000*F6</f>
        <v>-52.487204575014268</v>
      </c>
      <c r="G36" s="28">
        <f>-MAX('Supply &amp; Utilization'!G20-'Supply &amp; Utilization'!F20,0)*Assumptions!$C$76/1000*G6</f>
        <v>-47.620195557600191</v>
      </c>
      <c r="H36" s="28">
        <f>-MAX('Supply &amp; Utilization'!H20-'Supply &amp; Utilization'!G20,0)*Assumptions!$C$76/1000*H6</f>
        <v>-42.83651335359292</v>
      </c>
      <c r="I36" s="28">
        <f>-MAX('Supply &amp; Utilization'!I20-'Supply &amp; Utilization'!H20,0)*Assumptions!$C$76/1000*I6</f>
        <v>-38.372700689186999</v>
      </c>
      <c r="J36" s="28">
        <f>-MAX('Supply &amp; Utilization'!J20-'Supply &amp; Utilization'!I20,0)*Assumptions!$C$76/1000*J6</f>
        <v>-34.455976979743753</v>
      </c>
      <c r="K36" s="28">
        <f>-MAX('Supply &amp; Utilization'!K20-'Supply &amp; Utilization'!J20,0)*Assumptions!$C$76/1000*K6</f>
        <v>-31.26610614241951</v>
      </c>
      <c r="L36" s="28">
        <f>-MAX('Supply &amp; Utilization'!L20-'Supply &amp; Utilization'!K20,0)*Assumptions!$C$76/1000*L6</f>
        <v>-28.902456219760619</v>
      </c>
      <c r="M36" s="28">
        <f>-MAX('Supply &amp; Utilization'!M20-'Supply &amp; Utilization'!L20,0)*Assumptions!$C$76/1000*M6</f>
        <v>-27.367673823919727</v>
      </c>
      <c r="N36" s="28">
        <f>-MAX('Supply &amp; Utilization'!N20-'Supply &amp; Utilization'!M20,0)*Assumptions!$C$76/1000*N6</f>
        <v>-26.760572342852413</v>
      </c>
      <c r="O36" s="28">
        <f>-MAX('Supply &amp; Utilization'!O20-'Supply &amp; Utilization'!N20,0)*Assumptions!$C$76/1000*O6</f>
        <v>-26.823534940017531</v>
      </c>
      <c r="P36" s="28">
        <f>-MAX('Supply &amp; Utilization'!P20-'Supply &amp; Utilization'!O20,0)*Assumptions!$C$76/1000*P6</f>
        <v>-27.321526711945964</v>
      </c>
      <c r="Q36" s="28">
        <f>-MAX('Supply &amp; Utilization'!Q20-'Supply &amp; Utilization'!P20,0)*Assumptions!$C$76/1000*Q6</f>
        <v>-28.069144961947945</v>
      </c>
      <c r="R36" s="28">
        <f>-MAX('Supply &amp; Utilization'!R20-'Supply &amp; Utilization'!Q20,0)*Assumptions!$C$76/1000*R6</f>
        <v>-28.910886565454099</v>
      </c>
    </row>
    <row r="37" spans="1:18" x14ac:dyDescent="0.3">
      <c r="A37" s="2" t="s">
        <v>176</v>
      </c>
      <c r="C37" s="28">
        <f>C35+C36</f>
        <v>0</v>
      </c>
      <c r="D37" s="28">
        <f>D35+D36</f>
        <v>-70.22209554664191</v>
      </c>
      <c r="E37" s="28">
        <f t="shared" ref="E37:R37" si="8">E35+E36</f>
        <v>-93.388724448897506</v>
      </c>
      <c r="F37" s="28">
        <f t="shared" si="8"/>
        <v>-72.169906290644619</v>
      </c>
      <c r="G37" s="28">
        <f t="shared" si="8"/>
        <v>-65.477768891700265</v>
      </c>
      <c r="H37" s="28">
        <f t="shared" si="8"/>
        <v>-58.900205861190265</v>
      </c>
      <c r="I37" s="28">
        <f t="shared" si="8"/>
        <v>-52.762463447632122</v>
      </c>
      <c r="J37" s="28">
        <f t="shared" si="8"/>
        <v>-47.37696834714766</v>
      </c>
      <c r="K37" s="28">
        <f t="shared" si="8"/>
        <v>-42.990895945826821</v>
      </c>
      <c r="L37" s="28">
        <f t="shared" si="8"/>
        <v>-39.740877302170851</v>
      </c>
      <c r="M37" s="28">
        <f t="shared" si="8"/>
        <v>-37.630551507889621</v>
      </c>
      <c r="N37" s="28">
        <f t="shared" si="8"/>
        <v>-36.795786971422068</v>
      </c>
      <c r="O37" s="28">
        <f t="shared" si="8"/>
        <v>-36.882360542524104</v>
      </c>
      <c r="P37" s="28">
        <f t="shared" si="8"/>
        <v>-37.567099228925699</v>
      </c>
      <c r="Q37" s="28">
        <f t="shared" si="8"/>
        <v>-38.595074322678428</v>
      </c>
      <c r="R37" s="28">
        <f t="shared" si="8"/>
        <v>-39.752469027499387</v>
      </c>
    </row>
    <row r="38" spans="1:18" x14ac:dyDescent="0.3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x14ac:dyDescent="0.3">
      <c r="A39" s="2" t="s">
        <v>177</v>
      </c>
      <c r="C39" s="28">
        <f>-MAX(C33,0)*Assumptions!$C$24</f>
        <v>-49.84032215632358</v>
      </c>
      <c r="D39" s="28">
        <f>-MAX(D33,0)*Assumptions!$C$24</f>
        <v>-32.844954073406896</v>
      </c>
      <c r="E39" s="28">
        <f>-MAX(E33,0)*Assumptions!$C$24</f>
        <v>-13.271130899072279</v>
      </c>
      <c r="F39" s="28">
        <f>-MAX(F33,0)*Assumptions!$C$24</f>
        <v>-3.1032499068779842</v>
      </c>
      <c r="G39" s="28">
        <f>-MAX(G33,0)*Assumptions!$C$24</f>
        <v>0</v>
      </c>
      <c r="H39" s="28">
        <f>-MAX(H33,0)*Assumptions!$C$24</f>
        <v>0</v>
      </c>
      <c r="I39" s="28">
        <f>-MAX(I33,0)*Assumptions!$C$24</f>
        <v>0</v>
      </c>
      <c r="J39" s="28">
        <f>-MAX(J33,0)*Assumptions!$C$24</f>
        <v>0</v>
      </c>
      <c r="K39" s="28">
        <f>-MAX(K33,0)*Assumptions!$C$24</f>
        <v>0</v>
      </c>
      <c r="L39" s="28">
        <f>-MAX(L33,0)*Assumptions!$C$24</f>
        <v>0</v>
      </c>
      <c r="M39" s="28">
        <f>-MAX(M33,0)*Assumptions!$C$24</f>
        <v>0</v>
      </c>
      <c r="N39" s="28">
        <f>-MAX(N33,0)*Assumptions!$C$24</f>
        <v>0</v>
      </c>
      <c r="O39" s="28">
        <f>-MAX(O33,0)*Assumptions!$C$24</f>
        <v>0</v>
      </c>
      <c r="P39" s="28">
        <f>-MAX(P33,0)*Assumptions!$C$24</f>
        <v>0</v>
      </c>
      <c r="Q39" s="28">
        <f>-MAX(Q33,0)*Assumptions!$C$24</f>
        <v>0</v>
      </c>
      <c r="R39" s="28">
        <f>-MAX(R33,0)*Assumptions!$C$24</f>
        <v>0</v>
      </c>
    </row>
    <row r="40" spans="1:18" x14ac:dyDescent="0.3">
      <c r="A40" t="s">
        <v>178</v>
      </c>
      <c r="C40" s="28">
        <f>-C16*Assumptions!$C$26</f>
        <v>-50.895102754092676</v>
      </c>
      <c r="D40" s="28">
        <f>-(D16-C16)*Assumptions!$C$26</f>
        <v>-2.5972024293172127</v>
      </c>
      <c r="E40" s="28">
        <f>-(E16-D16)*Assumptions!$C$26</f>
        <v>3.5478586738434843</v>
      </c>
      <c r="F40" s="28">
        <f>-(F16-E16)*Assumptions!$C$26</f>
        <v>4.6050661873036747</v>
      </c>
      <c r="G40" s="28">
        <f>-(G16-F16)*Assumptions!$C$26</f>
        <v>-6.1426456446673688E-2</v>
      </c>
      <c r="H40" s="28">
        <f>-(H16-G16)*Assumptions!$C$26</f>
        <v>2.279497703657245</v>
      </c>
      <c r="I40" s="28">
        <f>-(I16-H16)*Assumptions!$C$26</f>
        <v>3.5749423616541609</v>
      </c>
      <c r="J40" s="28">
        <f>-(J16-I16)*Assumptions!$C$26</f>
        <v>3.953486709309999</v>
      </c>
      <c r="K40" s="28">
        <f>-(K16-J16)*Assumptions!$C$26</f>
        <v>3.6791296463316714</v>
      </c>
      <c r="L40" s="28">
        <f>-(L16-K16)*Assumptions!$C$26</f>
        <v>3.0375734045945308</v>
      </c>
      <c r="M40" s="28">
        <f>-(M16-L16)*Assumptions!$C$26</f>
        <v>2.5551402146296711</v>
      </c>
      <c r="N40" s="28">
        <f>-(N16-M16)*Assumptions!$C$26</f>
        <v>1.9399381623516263</v>
      </c>
      <c r="O40" s="28">
        <f>-(O16-N16)*Assumptions!$C$26</f>
        <v>1.2489939233929164</v>
      </c>
      <c r="P40" s="28">
        <f>-(P16-O16)*Assumptions!$C$26</f>
        <v>0.84067231564546607</v>
      </c>
      <c r="Q40" s="28">
        <f>-(Q16-P16)*Assumptions!$C$26</f>
        <v>0.81972602539192962</v>
      </c>
      <c r="R40" s="28">
        <f>-(R16-Q16)*Assumptions!$C$26</f>
        <v>0.70385129336129071</v>
      </c>
    </row>
    <row r="41" spans="1:18" x14ac:dyDescent="0.3">
      <c r="A41" s="2" t="s">
        <v>179</v>
      </c>
      <c r="C41" s="28">
        <f>-Assumptions!$C$27*C6</f>
        <v>-2.520996062831232</v>
      </c>
      <c r="D41" s="28">
        <f>-Assumptions!$C$27*D6</f>
        <v>-2.3407365182213971</v>
      </c>
      <c r="E41" s="28">
        <f>-Assumptions!$C$27*E6</f>
        <v>-2.1551244103591731</v>
      </c>
      <c r="F41" s="28">
        <f>-Assumptions!$C$27*F6</f>
        <v>-1.9682701715630349</v>
      </c>
      <c r="G41" s="28">
        <f>-Assumptions!$C$27*G6</f>
        <v>-1.785757333410007</v>
      </c>
      <c r="H41" s="28">
        <f>-Assumptions!$C$27*H6</f>
        <v>-1.6063692507597347</v>
      </c>
      <c r="I41" s="28">
        <f>-Assumptions!$C$27*I6</f>
        <v>-1.4389762758445124</v>
      </c>
      <c r="J41" s="28">
        <f>-Assumptions!$C$27*J6</f>
        <v>-1.2920991367403907</v>
      </c>
      <c r="K41" s="28">
        <f>-Assumptions!$C$27*K6</f>
        <v>-1.1724789803407316</v>
      </c>
      <c r="L41" s="28">
        <f>-Assumptions!$C$27*L6</f>
        <v>-1.0838421082410232</v>
      </c>
      <c r="M41" s="28">
        <f>-Assumptions!$C$27*M6</f>
        <v>-1.0262877683969898</v>
      </c>
      <c r="N41" s="28">
        <f>-Assumptions!$C$27*N6</f>
        <v>-1.0035214628569653</v>
      </c>
      <c r="O41" s="28">
        <f>-Assumptions!$C$27*O6</f>
        <v>-1.0058825602506576</v>
      </c>
      <c r="P41" s="28">
        <f>-Assumptions!$C$27*P6</f>
        <v>-1.0245572516979737</v>
      </c>
      <c r="Q41" s="28">
        <f>-Assumptions!$C$27*Q6</f>
        <v>-1.0525929360730479</v>
      </c>
      <c r="R41" s="28">
        <f>-Assumptions!$C$27*R6</f>
        <v>-1.0841582462045287</v>
      </c>
    </row>
    <row r="42" spans="1:18" x14ac:dyDescent="0.3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spans="1:18" ht="15" thickBot="1" x14ac:dyDescent="0.35">
      <c r="A43" s="24" t="s">
        <v>180</v>
      </c>
      <c r="B43" s="25"/>
      <c r="C43" s="30">
        <f>C33+C37+C39+C40+C41</f>
        <v>96.104867652046849</v>
      </c>
      <c r="D43" s="30">
        <f t="shared" ref="D43:R43" si="9">D33+D37+D39+D40+D41</f>
        <v>23.374827726040166</v>
      </c>
      <c r="E43" s="30">
        <f t="shared" si="9"/>
        <v>-52.18259748819635</v>
      </c>
      <c r="F43" s="30">
        <f t="shared" si="9"/>
        <v>-60.223360554270023</v>
      </c>
      <c r="G43" s="30">
        <f t="shared" si="9"/>
        <v>-89.419384168751307</v>
      </c>
      <c r="H43" s="30">
        <f t="shared" si="9"/>
        <v>-109.27985357184799</v>
      </c>
      <c r="I43" s="30">
        <f t="shared" si="9"/>
        <v>-119.98893042846686</v>
      </c>
      <c r="J43" s="30">
        <f t="shared" si="9"/>
        <v>-125.65984719204026</v>
      </c>
      <c r="K43" s="30">
        <f t="shared" si="9"/>
        <v>-130.22308993481548</v>
      </c>
      <c r="L43" s="30">
        <f t="shared" si="9"/>
        <v>-135.06753648774924</v>
      </c>
      <c r="M43" s="30">
        <f t="shared" si="9"/>
        <v>-142.35984131169172</v>
      </c>
      <c r="N43" s="30">
        <f t="shared" si="9"/>
        <v>-154.13519811624519</v>
      </c>
      <c r="O43" s="30">
        <f t="shared" si="9"/>
        <v>-168.80932934079317</v>
      </c>
      <c r="P43" s="30">
        <f t="shared" si="9"/>
        <v>-185.57339164941814</v>
      </c>
      <c r="Q43" s="30">
        <f t="shared" si="9"/>
        <v>-203.73491514321543</v>
      </c>
      <c r="R43" s="30">
        <f t="shared" si="9"/>
        <v>-222.8135669308904</v>
      </c>
    </row>
    <row r="44" spans="1:18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912-9029-43D9-B309-6E1104A06748}">
  <sheetPr>
    <tabColor rgb="FF000000"/>
  </sheetPr>
  <dimension ref="A1:R44"/>
  <sheetViews>
    <sheetView topLeftCell="C4" zoomScale="78" workbookViewId="0"/>
  </sheetViews>
  <sheetFormatPr defaultRowHeight="14.4" x14ac:dyDescent="0.3"/>
  <cols>
    <col min="1" max="1" width="37" customWidth="1"/>
    <col min="2" max="2" width="3.6640625" customWidth="1"/>
    <col min="3" max="18" width="15.6640625" customWidth="1"/>
  </cols>
  <sheetData>
    <row r="1" spans="1:18" ht="18" x14ac:dyDescent="0.35">
      <c r="A1" s="17" t="s">
        <v>181</v>
      </c>
    </row>
    <row r="2" spans="1:18" x14ac:dyDescent="0.3">
      <c r="A2" t="s">
        <v>148</v>
      </c>
    </row>
    <row r="3" spans="1:18" x14ac:dyDescent="0.3">
      <c r="C3" s="18">
        <v>2010</v>
      </c>
      <c r="D3" s="18">
        <v>2011</v>
      </c>
      <c r="E3" s="18">
        <v>2012</v>
      </c>
      <c r="F3" s="18">
        <v>2013</v>
      </c>
      <c r="G3" s="18">
        <v>2014</v>
      </c>
      <c r="H3" s="18">
        <v>2015</v>
      </c>
      <c r="I3" s="18">
        <v>2016</v>
      </c>
      <c r="J3" s="18">
        <v>2017</v>
      </c>
      <c r="K3" s="18">
        <v>2018</v>
      </c>
      <c r="L3" s="18">
        <v>2019</v>
      </c>
      <c r="M3" s="18">
        <v>2020</v>
      </c>
      <c r="N3" s="18">
        <v>2021</v>
      </c>
      <c r="O3" s="18">
        <v>2022</v>
      </c>
      <c r="P3" s="18">
        <v>2023</v>
      </c>
      <c r="Q3" s="18">
        <v>2024</v>
      </c>
      <c r="R3" s="18">
        <v>2025</v>
      </c>
    </row>
    <row r="5" spans="1:18" x14ac:dyDescent="0.3">
      <c r="A5" s="3" t="s">
        <v>182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t="s">
        <v>183</v>
      </c>
      <c r="C6" s="10">
        <f>1-'GE FINANCIALS — DEVELOPED MARKE'!C6</f>
        <v>0.57983398952812804</v>
      </c>
      <c r="D6" s="10">
        <f>1-'GE FINANCIALS — DEVELOPED MARKE'!D6</f>
        <v>0.60987724696310053</v>
      </c>
      <c r="E6" s="10">
        <f>1-'GE FINANCIALS — DEVELOPED MARKE'!E6</f>
        <v>0.64081259827347115</v>
      </c>
      <c r="F6" s="10">
        <f>1-'GE FINANCIALS — DEVELOPED MARKE'!F6</f>
        <v>0.67195497140616078</v>
      </c>
      <c r="G6" s="10">
        <f>1-'GE FINANCIALS — DEVELOPED MARKE'!G6</f>
        <v>0.70237377776499876</v>
      </c>
      <c r="H6" s="10">
        <f>1-'GE FINANCIALS — DEVELOPED MARKE'!H6</f>
        <v>0.73227179154004429</v>
      </c>
      <c r="I6" s="10">
        <f>1-'GE FINANCIALS — DEVELOPED MARKE'!I6</f>
        <v>0.76017062069258123</v>
      </c>
      <c r="J6" s="10">
        <f>1-'GE FINANCIALS — DEVELOPED MARKE'!J6</f>
        <v>0.78465014387660159</v>
      </c>
      <c r="K6" s="10">
        <f>1-'GE FINANCIALS — DEVELOPED MARKE'!K6</f>
        <v>0.80458683660987806</v>
      </c>
      <c r="L6" s="10">
        <f>1-'GE FINANCIALS — DEVELOPED MARKE'!L6</f>
        <v>0.81935964862649613</v>
      </c>
      <c r="M6" s="10">
        <f>1-'GE FINANCIALS — DEVELOPED MARKE'!M6</f>
        <v>0.82895203860050171</v>
      </c>
      <c r="N6" s="10">
        <f>1-'GE FINANCIALS — DEVELOPED MARKE'!N6</f>
        <v>0.83274642285717237</v>
      </c>
      <c r="O6" s="10">
        <f>1-'GE FINANCIALS — DEVELOPED MARKE'!O6</f>
        <v>0.83235290662489048</v>
      </c>
      <c r="P6" s="10">
        <f>1-'GE FINANCIALS — DEVELOPED MARKE'!P6</f>
        <v>0.82924045805033775</v>
      </c>
      <c r="Q6" s="10">
        <f>1-'GE FINANCIALS — DEVELOPED MARKE'!Q6</f>
        <v>0.82456784398782534</v>
      </c>
      <c r="R6" s="10">
        <f>1-'GE FINANCIALS — DEVELOPED MARKE'!R6</f>
        <v>0.81930695896591188</v>
      </c>
    </row>
    <row r="7" spans="1:18" x14ac:dyDescent="0.3">
      <c r="A7" t="s">
        <v>151</v>
      </c>
      <c r="C7" s="19">
        <f>'Supply &amp; Utilization'!C44*C6</f>
        <v>1301.8650170631604</v>
      </c>
      <c r="D7" s="19">
        <f>'Supply &amp; Utilization'!D44*D6</f>
        <v>1342.9870405965792</v>
      </c>
      <c r="E7" s="19">
        <f>'Supply &amp; Utilization'!E44*E6</f>
        <v>1371.755963750878</v>
      </c>
      <c r="F7" s="19">
        <f>'Supply &amp; Utilization'!F44*F6</f>
        <v>1349.4525446109678</v>
      </c>
      <c r="G7" s="19">
        <f>'Supply &amp; Utilization'!G44*G6</f>
        <v>1308.8724454621063</v>
      </c>
      <c r="H7" s="19">
        <f>'Supply &amp; Utilization'!H44*H6</f>
        <v>1255.0814294616687</v>
      </c>
      <c r="I7" s="19">
        <f>'Supply &amp; Utilization'!I44*I6</f>
        <v>1191.5019040426637</v>
      </c>
      <c r="J7" s="19">
        <f>'Supply &amp; Utilization'!J44*J6</f>
        <v>1121.9120389568679</v>
      </c>
      <c r="K7" s="19">
        <f>'Supply &amp; Utilization'!K44*K6</f>
        <v>1050.3496015129695</v>
      </c>
      <c r="L7" s="19">
        <f>'Supply &amp; Utilization'!L44*L6</f>
        <v>981.1068236554479</v>
      </c>
      <c r="M7" s="19">
        <f>'Supply &amp; Utilization'!M44*M6</f>
        <v>894.1875381112153</v>
      </c>
      <c r="N7" s="19">
        <f>'Supply &amp; Utilization'!N44*N6</f>
        <v>788.39137099629556</v>
      </c>
      <c r="O7" s="19">
        <f>'Supply &amp; Utilization'!O44*O6</f>
        <v>692.01345864326356</v>
      </c>
      <c r="P7" s="19">
        <f>'Supply &amp; Utilization'!P44*P6</f>
        <v>606.93848833388927</v>
      </c>
      <c r="Q7" s="19">
        <f>'Supply &amp; Utilization'!Q44*Q6</f>
        <v>534.46547646792487</v>
      </c>
      <c r="R7" s="19">
        <f>'Supply &amp; Utilization'!R44*R6</f>
        <v>475.81884165563093</v>
      </c>
    </row>
    <row r="8" spans="1:18" x14ac:dyDescent="0.3">
      <c r="A8" t="s">
        <v>152</v>
      </c>
      <c r="C8" s="19">
        <f>'Supply &amp; Utilization'!C45*C6</f>
        <v>173.9501968584384</v>
      </c>
      <c r="D8" s="19">
        <f>'Supply &amp; Utilization'!D45*D6</f>
        <v>264.73795140551891</v>
      </c>
      <c r="E8" s="19">
        <f>'Supply &amp; Utilization'!E45*E6</f>
        <v>298.18797286433522</v>
      </c>
      <c r="F8" s="19">
        <f>'Supply &amp; Utilization'!F45*F6</f>
        <v>336.99090857120763</v>
      </c>
      <c r="G8" s="19">
        <f>'Supply &amp; Utilization'!G45*G6</f>
        <v>370.55843253918027</v>
      </c>
      <c r="H8" s="19">
        <f>'Supply &amp; Utilization'!H45*H6</f>
        <v>398.9397282101022</v>
      </c>
      <c r="I8" s="19">
        <f>'Supply &amp; Utilization'!I45*I6</f>
        <v>421.46717482761335</v>
      </c>
      <c r="J8" s="19">
        <f>'Supply &amp; Utilization'!J45*J6</f>
        <v>437.90705723057425</v>
      </c>
      <c r="K8" s="19">
        <f>'Supply &amp; Utilization'!K45*K6</f>
        <v>448.41096518333757</v>
      </c>
      <c r="L8" s="19">
        <f>'Supply &amp; Utilization'!L45*L6</f>
        <v>453.44337875573285</v>
      </c>
      <c r="M8" s="19">
        <f>'Supply &amp; Utilization'!M45*M6</f>
        <v>453.58373788323996</v>
      </c>
      <c r="N8" s="19">
        <f>'Supply &amp; Utilization'!N45*N6</f>
        <v>453.56161647493423</v>
      </c>
      <c r="O8" s="19">
        <f>'Supply &amp; Utilization'!O45*O6</f>
        <v>450.96925664453215</v>
      </c>
      <c r="P8" s="19">
        <f>'Supply &amp; Utilization'!P45*P6</f>
        <v>446.31758145006404</v>
      </c>
      <c r="Q8" s="19">
        <f>'Supply &amp; Utilization'!Q45*Q6</f>
        <v>443.86133358686237</v>
      </c>
      <c r="R8" s="19">
        <f>'Supply &amp; Utilization'!R45*R6</f>
        <v>441.23919284687202</v>
      </c>
    </row>
    <row r="9" spans="1:18" x14ac:dyDescent="0.3">
      <c r="A9" t="s">
        <v>153</v>
      </c>
      <c r="C9" s="19">
        <f>'Supply &amp; Utilization'!C46*C6</f>
        <v>5.7983398952812806</v>
      </c>
      <c r="D9" s="19">
        <f>'Supply &amp; Utilization'!D46*D6</f>
        <v>6.6263072452466334</v>
      </c>
      <c r="E9" s="19">
        <f>'Supply &amp; Utilization'!E46*E6</f>
        <v>8.3880155671923387</v>
      </c>
      <c r="F9" s="19">
        <f>'Supply &amp; Utilization'!F46*F6</f>
        <v>9.8854265726747137</v>
      </c>
      <c r="G9" s="19">
        <f>'Supply &amp; Utilization'!G46*G6</f>
        <v>20.736576784918395</v>
      </c>
      <c r="H9" s="19">
        <f>'Supply &amp; Utilization'!H46*H6</f>
        <v>31.984216696412719</v>
      </c>
      <c r="I9" s="19">
        <f>'Supply &amp; Utilization'!I46*I6</f>
        <v>43.348022379073285</v>
      </c>
      <c r="J9" s="19">
        <f>'Supply &amp; Utilization'!J46*J6</f>
        <v>54.651228420502626</v>
      </c>
      <c r="K9" s="19">
        <f>'Supply &amp; Utilization'!K46*K6</f>
        <v>65.765625024361952</v>
      </c>
      <c r="L9" s="19">
        <f>'Supply &amp; Utilization'!L46*L6</f>
        <v>76.592400905375001</v>
      </c>
      <c r="M9" s="19">
        <f>'Supply &amp; Utilization'!M46*M6</f>
        <v>85.998600158042606</v>
      </c>
      <c r="N9" s="19">
        <f>'Supply &amp; Utilization'!N46*N6</f>
        <v>92.827082410033228</v>
      </c>
      <c r="O9" s="19">
        <f>'Supply &amp; Utilization'!O46*O6</f>
        <v>99.31949167617978</v>
      </c>
      <c r="P9" s="19">
        <f>'Supply &amp; Utilization'!P46*P6</f>
        <v>105.62956201774649</v>
      </c>
      <c r="Q9" s="19">
        <f>'Supply &amp; Utilization'!Q46*Q6</f>
        <v>109.20319921807885</v>
      </c>
      <c r="R9" s="19">
        <f>'Supply &amp; Utilization'!R46*R6</f>
        <v>112.66308184127899</v>
      </c>
    </row>
    <row r="10" spans="1:18" x14ac:dyDescent="0.3">
      <c r="A10" s="2" t="s">
        <v>184</v>
      </c>
      <c r="C10" s="19">
        <f>C7+C8+C9</f>
        <v>1481.6135538168801</v>
      </c>
      <c r="D10" s="19">
        <f t="shared" ref="D10:R10" si="0">D7+D8+D9</f>
        <v>1614.3512992473447</v>
      </c>
      <c r="E10" s="19">
        <f t="shared" si="0"/>
        <v>1678.3319521824055</v>
      </c>
      <c r="F10" s="19">
        <f t="shared" si="0"/>
        <v>1696.3288797548503</v>
      </c>
      <c r="G10" s="19">
        <f t="shared" si="0"/>
        <v>1700.1674547862051</v>
      </c>
      <c r="H10" s="19">
        <f t="shared" si="0"/>
        <v>1686.0053743681835</v>
      </c>
      <c r="I10" s="19">
        <f t="shared" si="0"/>
        <v>1656.3171012493501</v>
      </c>
      <c r="J10" s="19">
        <f t="shared" si="0"/>
        <v>1614.4703246079448</v>
      </c>
      <c r="K10" s="19">
        <f t="shared" si="0"/>
        <v>1564.526191720669</v>
      </c>
      <c r="L10" s="19">
        <f t="shared" si="0"/>
        <v>1511.1426033165556</v>
      </c>
      <c r="M10" s="19">
        <f t="shared" si="0"/>
        <v>1433.7698761524978</v>
      </c>
      <c r="N10" s="19">
        <f t="shared" si="0"/>
        <v>1334.780069881263</v>
      </c>
      <c r="O10" s="19">
        <f t="shared" si="0"/>
        <v>1242.3022069639753</v>
      </c>
      <c r="P10" s="19">
        <f t="shared" si="0"/>
        <v>1158.8856318016999</v>
      </c>
      <c r="Q10" s="19">
        <f t="shared" si="0"/>
        <v>1087.5300092728662</v>
      </c>
      <c r="R10" s="19">
        <f t="shared" si="0"/>
        <v>1029.7211163437819</v>
      </c>
    </row>
    <row r="12" spans="1:18" x14ac:dyDescent="0.3">
      <c r="A12" s="3" t="s">
        <v>155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t="s">
        <v>156</v>
      </c>
      <c r="C13" s="27">
        <f>C7*'Demand - Emerging'!C6</f>
        <v>650.9325085315802</v>
      </c>
      <c r="D13" s="27">
        <f>D7*'Demand - Emerging'!D6</f>
        <v>671.49352029828958</v>
      </c>
      <c r="E13" s="27">
        <f>E7*'Demand - Emerging'!E6</f>
        <v>685.87798187543899</v>
      </c>
      <c r="F13" s="27">
        <f>F7*'Demand - Emerging'!F6</f>
        <v>674.72627230548392</v>
      </c>
      <c r="G13" s="27">
        <f>G7*'Demand - Emerging'!G6</f>
        <v>654.43622273105314</v>
      </c>
      <c r="H13" s="27">
        <f>H7*'Demand - Emerging'!H6</f>
        <v>627.54071473083434</v>
      </c>
      <c r="I13" s="27">
        <f>I7*'Demand - Emerging'!I6</f>
        <v>595.75095202133184</v>
      </c>
      <c r="J13" s="27">
        <f>J7*'Demand - Emerging'!J6</f>
        <v>560.95601947843397</v>
      </c>
      <c r="K13" s="27">
        <f>K7*'Demand - Emerging'!K6</f>
        <v>525.17480075648473</v>
      </c>
      <c r="L13" s="27">
        <f>L7*'Demand - Emerging'!L6</f>
        <v>490.55341182772395</v>
      </c>
      <c r="M13" s="27">
        <f>M7*'Demand - Emerging'!M6</f>
        <v>447.09376905560765</v>
      </c>
      <c r="N13" s="27">
        <f>N7*'Demand - Emerging'!N6</f>
        <v>394.19568549814778</v>
      </c>
      <c r="O13" s="27">
        <f>O7*'Demand - Emerging'!O6</f>
        <v>346.00672932163178</v>
      </c>
      <c r="P13" s="27">
        <f>P7*'Demand - Emerging'!P6</f>
        <v>303.46924416694463</v>
      </c>
      <c r="Q13" s="27">
        <f>Q7*'Demand - Emerging'!Q6</f>
        <v>267.23273823396244</v>
      </c>
      <c r="R13" s="27">
        <f>R7*'Demand - Emerging'!R6</f>
        <v>237.90942082781547</v>
      </c>
    </row>
    <row r="14" spans="1:18" x14ac:dyDescent="0.3">
      <c r="A14" t="s">
        <v>157</v>
      </c>
      <c r="C14" s="27">
        <f>C8*'Demand - Emerging'!C7</f>
        <v>521.85059057531521</v>
      </c>
      <c r="D14" s="27">
        <f>D8*'Demand - Emerging'!D7</f>
        <v>762.44530004789442</v>
      </c>
      <c r="E14" s="27">
        <f>E8*'Demand - Emerging'!E7</f>
        <v>824.43010737531392</v>
      </c>
      <c r="F14" s="27">
        <f>F8*'Demand - Emerging'!F7</f>
        <v>894.4439654569677</v>
      </c>
      <c r="G14" s="27">
        <f>G8*'Demand - Emerging'!G7</f>
        <v>944.19758986843431</v>
      </c>
      <c r="H14" s="27">
        <f>H8*'Demand - Emerging'!H7</f>
        <v>975.85368711144531</v>
      </c>
      <c r="I14" s="27">
        <f>I8*'Demand - Emerging'!I7</f>
        <v>989.72014259244054</v>
      </c>
      <c r="J14" s="27">
        <f>J8*'Demand - Emerging'!J7</f>
        <v>987.19246140504185</v>
      </c>
      <c r="K14" s="27">
        <f>K8*'Demand - Emerging'!K7</f>
        <v>970.43699215602669</v>
      </c>
      <c r="L14" s="27">
        <f>L8*'Demand - Emerging'!L7</f>
        <v>942.0748649095824</v>
      </c>
      <c r="M14" s="27">
        <f>M8*'Demand - Emerging'!M7</f>
        <v>904.67181629937704</v>
      </c>
      <c r="N14" s="27">
        <f>N8*'Demand - Emerging'!N7</f>
        <v>868.44258738891824</v>
      </c>
      <c r="O14" s="27">
        <f>O8*'Demand - Emerging'!O7</f>
        <v>828.93979140557019</v>
      </c>
      <c r="P14" s="27">
        <f>P8*'Demand - Emerging'!P7</f>
        <v>787.57383462415851</v>
      </c>
      <c r="Q14" s="27">
        <f>Q8*'Demand - Emerging'!Q7</f>
        <v>751.90994838855443</v>
      </c>
      <c r="R14" s="27">
        <f>R8*'Demand - Emerging'!R7</f>
        <v>717.56927010933066</v>
      </c>
    </row>
    <row r="15" spans="1:18" x14ac:dyDescent="0.3">
      <c r="A15" t="s">
        <v>158</v>
      </c>
      <c r="C15" s="27">
        <f>C9*'Demand - Emerging'!C8</f>
        <v>231.93359581125122</v>
      </c>
      <c r="D15" s="27">
        <f>D9*'Demand - Emerging'!D8</f>
        <v>238.54706082887881</v>
      </c>
      <c r="E15" s="27">
        <f>E9*'Demand - Emerging'!E8</f>
        <v>271.77170437703177</v>
      </c>
      <c r="F15" s="27">
        <f>F9*'Demand - Emerging'!F8</f>
        <v>288.25903885919467</v>
      </c>
      <c r="G15" s="27">
        <f>G9*'Demand - Emerging'!G8</f>
        <v>544.21072114339836</v>
      </c>
      <c r="H15" s="27">
        <f>H9*'Demand - Emerging'!H8</f>
        <v>755.45440468258994</v>
      </c>
      <c r="I15" s="27">
        <f>I9*'Demand - Emerging'!I8</f>
        <v>921.47665444628353</v>
      </c>
      <c r="J15" s="27">
        <f>J9*'Demand - Emerging'!J8</f>
        <v>1045.5805253887322</v>
      </c>
      <c r="K15" s="27">
        <f>K9*'Demand - Emerging'!K8</f>
        <v>1132.397804725731</v>
      </c>
      <c r="L15" s="27">
        <f>L9*'Demand - Emerging'!L8</f>
        <v>1186.9386164977773</v>
      </c>
      <c r="M15" s="27">
        <f>M9*'Demand - Emerging'!M8</f>
        <v>1199.4343101555964</v>
      </c>
      <c r="N15" s="27">
        <f>N9*'Demand - Emerging'!N8</f>
        <v>1165.2048825755235</v>
      </c>
      <c r="O15" s="27">
        <f>O9*'Demand - Emerging'!O8</f>
        <v>1122.0303199052798</v>
      </c>
      <c r="P15" s="27">
        <f>P9*'Demand - Emerging'!P8</f>
        <v>1073.9846966170746</v>
      </c>
      <c r="Q15" s="27">
        <f>Q9*'Demand - Emerging'!Q8</f>
        <v>999.28756957189978</v>
      </c>
      <c r="R15" s="27">
        <f>R9*'Demand - Emerging'!R8</f>
        <v>927.85317862292095</v>
      </c>
    </row>
    <row r="16" spans="1:18" x14ac:dyDescent="0.3">
      <c r="A16" s="2" t="s">
        <v>159</v>
      </c>
      <c r="C16" s="27">
        <f>C13+C14+C15</f>
        <v>1404.7166949181467</v>
      </c>
      <c r="D16" s="27">
        <f t="shared" ref="D16:R16" si="1">D13+D14+D15</f>
        <v>1672.4858811750628</v>
      </c>
      <c r="E16" s="27">
        <f t="shared" si="1"/>
        <v>1782.0797936277845</v>
      </c>
      <c r="F16" s="27">
        <f t="shared" si="1"/>
        <v>1857.4292766216463</v>
      </c>
      <c r="G16" s="27">
        <f t="shared" si="1"/>
        <v>2142.8445337428857</v>
      </c>
      <c r="H16" s="27">
        <f t="shared" si="1"/>
        <v>2358.8488065248694</v>
      </c>
      <c r="I16" s="27">
        <f t="shared" si="1"/>
        <v>2506.9477490600561</v>
      </c>
      <c r="J16" s="27">
        <f t="shared" si="1"/>
        <v>2593.7290062722077</v>
      </c>
      <c r="K16" s="27">
        <f t="shared" si="1"/>
        <v>2628.0095976382427</v>
      </c>
      <c r="L16" s="27">
        <f t="shared" si="1"/>
        <v>2619.5668932350836</v>
      </c>
      <c r="M16" s="27">
        <f t="shared" si="1"/>
        <v>2551.199895510581</v>
      </c>
      <c r="N16" s="27">
        <f t="shared" si="1"/>
        <v>2427.8431554625895</v>
      </c>
      <c r="O16" s="27">
        <f t="shared" si="1"/>
        <v>2296.976840632482</v>
      </c>
      <c r="P16" s="27">
        <f t="shared" si="1"/>
        <v>2165.0277754081781</v>
      </c>
      <c r="Q16" s="27">
        <f t="shared" si="1"/>
        <v>2018.4302561944166</v>
      </c>
      <c r="R16" s="27">
        <f t="shared" si="1"/>
        <v>1883.3318695600669</v>
      </c>
    </row>
    <row r="18" spans="1:18" x14ac:dyDescent="0.3">
      <c r="A18" s="3" t="s">
        <v>160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t="s">
        <v>161</v>
      </c>
      <c r="C19" s="10">
        <f>'GE FINANCIALS — DEVELOPED MARKE'!C19</f>
        <v>0.19309510869565222</v>
      </c>
      <c r="D19" s="10">
        <f>'GE FINANCIALS — DEVELOPED MARKE'!D19</f>
        <v>0.19434694000000008</v>
      </c>
      <c r="E19" s="10">
        <f>'GE FINANCIALS — DEVELOPED MARKE'!E19</f>
        <v>0.20282575387140656</v>
      </c>
      <c r="F19" s="10">
        <f>'GE FINANCIALS — DEVELOPED MARKE'!F19</f>
        <v>0.19481670049932631</v>
      </c>
      <c r="G19" s="10">
        <f>'GE FINANCIALS — DEVELOPED MARKE'!G19</f>
        <v>0.18282011512045143</v>
      </c>
      <c r="H19" s="10">
        <f>'GE FINANCIALS — DEVELOPED MARKE'!H19</f>
        <v>0.16823127706231272</v>
      </c>
      <c r="I19" s="10">
        <f>'GE FINANCIALS — DEVELOPED MARKE'!I19</f>
        <v>0.15283250782646757</v>
      </c>
      <c r="J19" s="10">
        <f>'GE FINANCIALS — DEVELOPED MARKE'!J19</f>
        <v>0.13828016669797599</v>
      </c>
      <c r="K19" s="10">
        <f>'GE FINANCIALS — DEVELOPED MARKE'!K19</f>
        <v>0.12611359108059034</v>
      </c>
      <c r="L19" s="10">
        <f>'GE FINANCIALS — DEVELOPED MARKE'!L19</f>
        <v>0.11789890023183552</v>
      </c>
      <c r="M19" s="10">
        <f>'GE FINANCIALS — DEVELOPED MARKE'!M19</f>
        <v>0.10451716655398308</v>
      </c>
      <c r="N19" s="10">
        <f>'GE FINANCIALS — DEVELOPED MARKE'!N19</f>
        <v>8.3694569850594591E-2</v>
      </c>
      <c r="O19" s="10">
        <f>'GE FINANCIALS — DEVELOPED MARKE'!O19</f>
        <v>6.6475780773613546E-2</v>
      </c>
      <c r="P19" s="10">
        <f>'GE FINANCIALS — DEVELOPED MARKE'!P19</f>
        <v>5.3533799782955249E-2</v>
      </c>
      <c r="Q19" s="10">
        <f>'GE FINANCIALS — DEVELOPED MARKE'!Q19</f>
        <v>4.6145511851657883E-2</v>
      </c>
      <c r="R19" s="10">
        <f>'GE FINANCIALS — DEVELOPED MARKE'!R19</f>
        <v>4.662218836916221E-2</v>
      </c>
    </row>
    <row r="20" spans="1:18" x14ac:dyDescent="0.3">
      <c r="A20" t="s">
        <v>162</v>
      </c>
      <c r="C20" s="10">
        <f>'GE FINANCIALS — DEVELOPED MARKE'!C20</f>
        <v>0.255</v>
      </c>
      <c r="D20" s="10">
        <f>'GE FINANCIALS — DEVELOPED MARKE'!D20</f>
        <v>0.18908399431818185</v>
      </c>
      <c r="E20" s="10">
        <f>'GE FINANCIALS — DEVELOPED MARKE'!E20</f>
        <v>8.7377062752307666E-2</v>
      </c>
      <c r="F20" s="10">
        <f>'GE FINANCIALS — DEVELOPED MARKE'!F20</f>
        <v>6.8442606751244195E-2</v>
      </c>
      <c r="G20" s="10">
        <f>'GE FINANCIALS — DEVELOPED MARKE'!G20</f>
        <v>4.8100059216588553E-2</v>
      </c>
      <c r="H20" s="10">
        <f>'GE FINANCIALS — DEVELOPED MARKE'!H20</f>
        <v>2.7398672746283326E-2</v>
      </c>
      <c r="I20" s="10">
        <f>'GE FINANCIALS — DEVELOPED MARKE'!I20</f>
        <v>0.02</v>
      </c>
      <c r="J20" s="10">
        <f>'GE FINANCIALS — DEVELOPED MARKE'!J20</f>
        <v>0.02</v>
      </c>
      <c r="K20" s="10">
        <f>'GE FINANCIALS — DEVELOPED MARKE'!K20</f>
        <v>0.02</v>
      </c>
      <c r="L20" s="10">
        <f>'GE FINANCIALS — DEVELOPED MARKE'!L20</f>
        <v>0.02</v>
      </c>
      <c r="M20" s="10">
        <f>'GE FINANCIALS — DEVELOPED MARKE'!M20</f>
        <v>0.02</v>
      </c>
      <c r="N20" s="10">
        <f>'GE FINANCIALS — DEVELOPED MARKE'!N20</f>
        <v>0.02</v>
      </c>
      <c r="O20" s="10">
        <f>'GE FINANCIALS — DEVELOPED MARKE'!O20</f>
        <v>0.02</v>
      </c>
      <c r="P20" s="10">
        <f>'GE FINANCIALS — DEVELOPED MARKE'!P20</f>
        <v>0.02</v>
      </c>
      <c r="Q20" s="10">
        <f>'GE FINANCIALS — DEVELOPED MARKE'!Q20</f>
        <v>0.02</v>
      </c>
      <c r="R20" s="10">
        <f>'GE FINANCIALS — DEVELOPED MARKE'!R20</f>
        <v>0.02</v>
      </c>
    </row>
    <row r="21" spans="1:18" x14ac:dyDescent="0.3">
      <c r="A21" t="s">
        <v>163</v>
      </c>
      <c r="C21" s="10">
        <f>'GE FINANCIALS — DEVELOPED MARKE'!C21</f>
        <v>0.27500000000000002</v>
      </c>
      <c r="D21" s="10">
        <f>'GE FINANCIALS — DEVELOPED MARKE'!D21</f>
        <v>0.02</v>
      </c>
      <c r="E21" s="10">
        <f>'GE FINANCIALS — DEVELOPED MARKE'!E21</f>
        <v>0.02</v>
      </c>
      <c r="F21" s="10">
        <f>'GE FINANCIALS — DEVELOPED MARKE'!F21</f>
        <v>0.02</v>
      </c>
      <c r="G21" s="10">
        <f>'GE FINANCIALS — DEVELOPED MARKE'!G21</f>
        <v>0.02</v>
      </c>
      <c r="H21" s="10">
        <f>'GE FINANCIALS — DEVELOPED MARKE'!H21</f>
        <v>0.02</v>
      </c>
      <c r="I21" s="10">
        <f>'GE FINANCIALS — DEVELOPED MARKE'!I21</f>
        <v>0.02</v>
      </c>
      <c r="J21" s="10">
        <f>'GE FINANCIALS — DEVELOPED MARKE'!J21</f>
        <v>0.02</v>
      </c>
      <c r="K21" s="10">
        <f>'GE FINANCIALS — DEVELOPED MARKE'!K21</f>
        <v>0.02</v>
      </c>
      <c r="L21" s="10">
        <f>'GE FINANCIALS — DEVELOPED MARKE'!L21</f>
        <v>0.02</v>
      </c>
      <c r="M21" s="10">
        <f>'GE FINANCIALS — DEVELOPED MARKE'!M21</f>
        <v>0.02</v>
      </c>
      <c r="N21" s="10">
        <f>'GE FINANCIALS — DEVELOPED MARKE'!N21</f>
        <v>0.02</v>
      </c>
      <c r="O21" s="10">
        <f>'GE FINANCIALS — DEVELOPED MARKE'!O21</f>
        <v>0.02</v>
      </c>
      <c r="P21" s="10">
        <f>'GE FINANCIALS — DEVELOPED MARKE'!P21</f>
        <v>0.02</v>
      </c>
      <c r="Q21" s="10">
        <f>'GE FINANCIALS — DEVELOPED MARKE'!Q21</f>
        <v>0.02</v>
      </c>
      <c r="R21" s="10">
        <f>'GE FINANCIALS — DEVELOPED MARKE'!R21</f>
        <v>0.02</v>
      </c>
    </row>
    <row r="22" spans="1:18" x14ac:dyDescent="0.3">
      <c r="A22" t="s">
        <v>164</v>
      </c>
      <c r="C22" s="27">
        <f>C13*C19</f>
        <v>125.69188348843905</v>
      </c>
      <c r="D22" s="27">
        <f t="shared" ref="D22:R22" si="2">D13*D19</f>
        <v>130.50271089980052</v>
      </c>
      <c r="E22" s="27">
        <f t="shared" si="2"/>
        <v>139.11371873768485</v>
      </c>
      <c r="F22" s="27">
        <f t="shared" si="2"/>
        <v>131.44794611076435</v>
      </c>
      <c r="G22" s="27">
        <f t="shared" si="2"/>
        <v>119.64410557868453</v>
      </c>
      <c r="H22" s="27">
        <f t="shared" si="2"/>
        <v>105.57197584776475</v>
      </c>
      <c r="I22" s="27">
        <f t="shared" si="2"/>
        <v>91.050112037425706</v>
      </c>
      <c r="J22" s="27">
        <f t="shared" si="2"/>
        <v>77.569091883710911</v>
      </c>
      <c r="K22" s="27">
        <f t="shared" si="2"/>
        <v>66.231680068433818</v>
      </c>
      <c r="L22" s="27">
        <f t="shared" si="2"/>
        <v>57.835707759463354</v>
      </c>
      <c r="M22" s="27">
        <f t="shared" si="2"/>
        <v>46.728973925632992</v>
      </c>
      <c r="N22" s="27">
        <f t="shared" si="2"/>
        <v>32.992038334727745</v>
      </c>
      <c r="O22" s="27">
        <f t="shared" si="2"/>
        <v>23.001067484579835</v>
      </c>
      <c r="P22" s="27">
        <f t="shared" si="2"/>
        <v>16.245861757517975</v>
      </c>
      <c r="Q22" s="27">
        <f t="shared" si="2"/>
        <v>12.331591489326302</v>
      </c>
      <c r="R22" s="27">
        <f t="shared" si="2"/>
        <v>11.091857832632696</v>
      </c>
    </row>
    <row r="23" spans="1:18" x14ac:dyDescent="0.3">
      <c r="A23" t="s">
        <v>165</v>
      </c>
      <c r="C23" s="27">
        <f>C14*C20</f>
        <v>133.07190059670538</v>
      </c>
      <c r="D23" s="27">
        <f t="shared" ref="D23:R23" si="3">D14*D20</f>
        <v>144.16620278218053</v>
      </c>
      <c r="E23" s="27">
        <f t="shared" si="3"/>
        <v>72.036281227024546</v>
      </c>
      <c r="F23" s="27">
        <f t="shared" si="3"/>
        <v>61.218076588794688</v>
      </c>
      <c r="G23" s="27">
        <f t="shared" si="3"/>
        <v>45.415959984831879</v>
      </c>
      <c r="H23" s="27">
        <f t="shared" si="3"/>
        <v>26.737095821420453</v>
      </c>
      <c r="I23" s="27">
        <f t="shared" si="3"/>
        <v>19.794402851848812</v>
      </c>
      <c r="J23" s="27">
        <f t="shared" si="3"/>
        <v>19.743849228100839</v>
      </c>
      <c r="K23" s="27">
        <f t="shared" si="3"/>
        <v>19.408739843120536</v>
      </c>
      <c r="L23" s="27">
        <f t="shared" si="3"/>
        <v>18.841497298191648</v>
      </c>
      <c r="M23" s="27">
        <f t="shared" si="3"/>
        <v>18.09343632598754</v>
      </c>
      <c r="N23" s="27">
        <f t="shared" si="3"/>
        <v>17.368851747778365</v>
      </c>
      <c r="O23" s="27">
        <f t="shared" si="3"/>
        <v>16.578795828111403</v>
      </c>
      <c r="P23" s="27">
        <f t="shared" si="3"/>
        <v>15.75147669248317</v>
      </c>
      <c r="Q23" s="27">
        <f t="shared" si="3"/>
        <v>15.038198967771089</v>
      </c>
      <c r="R23" s="27">
        <f t="shared" si="3"/>
        <v>14.351385402186613</v>
      </c>
    </row>
    <row r="24" spans="1:18" x14ac:dyDescent="0.3">
      <c r="A24" t="s">
        <v>166</v>
      </c>
      <c r="C24" s="27">
        <f>C15*C21</f>
        <v>63.781738848094093</v>
      </c>
      <c r="D24" s="27">
        <f t="shared" ref="D24:R24" si="4">D15*D21</f>
        <v>4.770941216577576</v>
      </c>
      <c r="E24" s="27">
        <f t="shared" si="4"/>
        <v>5.4354340875406351</v>
      </c>
      <c r="F24" s="27">
        <f t="shared" si="4"/>
        <v>5.7651807771838932</v>
      </c>
      <c r="G24" s="27">
        <f t="shared" si="4"/>
        <v>10.884214422867968</v>
      </c>
      <c r="H24" s="27">
        <f t="shared" si="4"/>
        <v>15.109088093651799</v>
      </c>
      <c r="I24" s="27">
        <f t="shared" si="4"/>
        <v>18.42953308892567</v>
      </c>
      <c r="J24" s="27">
        <f t="shared" si="4"/>
        <v>20.911610507774643</v>
      </c>
      <c r="K24" s="27">
        <f t="shared" si="4"/>
        <v>22.647956094514623</v>
      </c>
      <c r="L24" s="27">
        <f t="shared" si="4"/>
        <v>23.738772329955545</v>
      </c>
      <c r="M24" s="27">
        <f t="shared" si="4"/>
        <v>23.988686203111929</v>
      </c>
      <c r="N24" s="27">
        <f t="shared" si="4"/>
        <v>23.304097651510471</v>
      </c>
      <c r="O24" s="27">
        <f t="shared" si="4"/>
        <v>22.440606398105597</v>
      </c>
      <c r="P24" s="27">
        <f t="shared" si="4"/>
        <v>21.479693932341494</v>
      </c>
      <c r="Q24" s="27">
        <f t="shared" si="4"/>
        <v>19.985751391437997</v>
      </c>
      <c r="R24" s="27">
        <f t="shared" si="4"/>
        <v>18.557063572458418</v>
      </c>
    </row>
    <row r="25" spans="1:18" x14ac:dyDescent="0.3">
      <c r="A25" s="2" t="s">
        <v>167</v>
      </c>
      <c r="C25" s="27">
        <f>C22+C23+C24</f>
        <v>322.54552293323854</v>
      </c>
      <c r="D25" s="27">
        <f t="shared" ref="D25:R25" si="5">D22+D23+D24</f>
        <v>279.43985489855862</v>
      </c>
      <c r="E25" s="27">
        <f t="shared" si="5"/>
        <v>216.58543405225004</v>
      </c>
      <c r="F25" s="27">
        <f t="shared" si="5"/>
        <v>198.43120347674295</v>
      </c>
      <c r="G25" s="27">
        <f t="shared" si="5"/>
        <v>175.94427998638437</v>
      </c>
      <c r="H25" s="27">
        <f t="shared" si="5"/>
        <v>147.41815976283698</v>
      </c>
      <c r="I25" s="27">
        <f t="shared" si="5"/>
        <v>129.2740479782002</v>
      </c>
      <c r="J25" s="27">
        <f t="shared" si="5"/>
        <v>118.22455161958639</v>
      </c>
      <c r="K25" s="27">
        <f t="shared" si="5"/>
        <v>108.28837600606897</v>
      </c>
      <c r="L25" s="27">
        <f t="shared" si="5"/>
        <v>100.41597738761055</v>
      </c>
      <c r="M25" s="27">
        <f t="shared" si="5"/>
        <v>88.811096454732464</v>
      </c>
      <c r="N25" s="27">
        <f t="shared" si="5"/>
        <v>73.664987734016577</v>
      </c>
      <c r="O25" s="27">
        <f t="shared" si="5"/>
        <v>62.020469710796831</v>
      </c>
      <c r="P25" s="27">
        <f t="shared" si="5"/>
        <v>53.477032382342642</v>
      </c>
      <c r="Q25" s="27">
        <f t="shared" si="5"/>
        <v>47.355541848535388</v>
      </c>
      <c r="R25" s="27">
        <f t="shared" si="5"/>
        <v>44.000306807277724</v>
      </c>
    </row>
    <row r="27" spans="1:18" x14ac:dyDescent="0.3">
      <c r="A27" s="3" t="s">
        <v>168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t="s">
        <v>169</v>
      </c>
      <c r="C28" s="28">
        <f>-'Supply &amp; Utilization'!C6*Assumptions!$D$74/1000*C6</f>
        <v>-23.071594443324216</v>
      </c>
      <c r="D28" s="28">
        <f>-'Supply &amp; Utilization'!D6*Assumptions!$D$74/1000*D6</f>
        <v>-23.739471838038686</v>
      </c>
      <c r="E28" s="28">
        <f>-'Supply &amp; Utilization'!E6*Assumptions!$D$74/1000*E6</f>
        <v>-23.83502459278176</v>
      </c>
      <c r="F28" s="28">
        <f>-'Supply &amp; Utilization'!F6*Assumptions!$D$74/1000*F6</f>
        <v>-23.830883060919493</v>
      </c>
      <c r="G28" s="28">
        <f>-'Supply &amp; Utilization'!G6*Assumptions!$D$74/1000*G6</f>
        <v>-23.694579392902234</v>
      </c>
      <c r="H28" s="28">
        <f>-'Supply &amp; Utilization'!H6*Assumptions!$D$74/1000*H6</f>
        <v>-23.436358688239121</v>
      </c>
      <c r="I28" s="28">
        <f>-'Supply &amp; Utilization'!I6*Assumptions!$D$74/1000*I6</f>
        <v>-23.014165541467897</v>
      </c>
      <c r="J28" s="28">
        <f>-'Supply &amp; Utilization'!J6*Assumptions!$D$74/1000*J6</f>
        <v>-22.397838356957593</v>
      </c>
      <c r="K28" s="28">
        <f>-'Supply &amp; Utilization'!K6*Assumptions!$D$74/1000*K6</f>
        <v>-21.574996023693881</v>
      </c>
      <c r="L28" s="28">
        <f>-'Supply &amp; Utilization'!L6*Assumptions!$D$74/1000*L6</f>
        <v>-20.553636785795657</v>
      </c>
      <c r="M28" s="28">
        <f>-'Supply &amp; Utilization'!M6*Assumptions!$D$74/1000*M6</f>
        <v>-19.360174861514718</v>
      </c>
      <c r="N28" s="28">
        <f>-'Supply &amp; Utilization'!N6*Assumptions!$D$74/1000*N6</f>
        <v>-18.008141394286351</v>
      </c>
      <c r="O28" s="28">
        <f>-'Supply &amp; Utilization'!O6*Assumptions!$D$74/1000*O6</f>
        <v>-16.559661077302195</v>
      </c>
      <c r="P28" s="28">
        <f>-'Supply &amp; Utilization'!P6*Assumptions!$D$74/1000*P6</f>
        <v>-15.063152920484384</v>
      </c>
      <c r="Q28" s="28">
        <f>-'Supply &amp; Utilization'!Q6*Assumptions!$D$74/1000*Q6</f>
        <v>-13.551772515939909</v>
      </c>
      <c r="R28" s="28">
        <f>-'Supply &amp; Utilization'!R6*Assumptions!$D$74/1000*R6</f>
        <v>-12.047908831593734</v>
      </c>
    </row>
    <row r="29" spans="1:18" x14ac:dyDescent="0.3">
      <c r="A29" t="s">
        <v>170</v>
      </c>
      <c r="C29" s="28">
        <f>-'Supply &amp; Utilization'!C13*Assumptions!$D$75/1000*C6</f>
        <v>-15.655517717259457</v>
      </c>
      <c r="D29" s="28">
        <f>-'Supply &amp; Utilization'!D13*Assumptions!$D$75/1000*D6</f>
        <v>-27.444476113339523</v>
      </c>
      <c r="E29" s="28">
        <f>-'Supply &amp; Utilization'!E13*Assumptions!$D$75/1000*E6</f>
        <v>-40.371193691228683</v>
      </c>
      <c r="F29" s="28">
        <f>-'Supply &amp; Utilization'!F13*Assumptions!$D$75/1000*F6</f>
        <v>-48.380757941243573</v>
      </c>
      <c r="G29" s="28">
        <f>-'Supply &amp; Utilization'!G13*Assumptions!$D$75/1000*G6</f>
        <v>-56.892275998964898</v>
      </c>
      <c r="H29" s="28">
        <f>-'Supply &amp; Utilization'!H13*Assumptions!$D$75/1000*H6</f>
        <v>-65.904461238603986</v>
      </c>
      <c r="I29" s="28">
        <f>-'Supply &amp; Utilization'!I13*Assumptions!$D$75/1000*I6</f>
        <v>-75.25689144856554</v>
      </c>
      <c r="J29" s="28">
        <f>-'Supply &amp; Utilization'!J13*Assumptions!$D$75/1000*J6</f>
        <v>-84.742215538672966</v>
      </c>
      <c r="K29" s="28">
        <f>-'Supply &amp; Utilization'!K13*Assumptions!$D$75/1000*K6</f>
        <v>-94.136659883355733</v>
      </c>
      <c r="L29" s="28">
        <f>-'Supply &amp; Utilization'!L13*Assumptions!$D$75/1000*L6</f>
        <v>-103.23931572693851</v>
      </c>
      <c r="M29" s="28">
        <f>-'Supply &amp; Utilization'!M13*Assumptions!$D$75/1000*M6</f>
        <v>-111.90852521106773</v>
      </c>
      <c r="N29" s="28">
        <f>-'Supply &amp; Utilization'!N13*Assumptions!$D$75/1000*N6</f>
        <v>-119.91548489143283</v>
      </c>
      <c r="O29" s="28">
        <f>-'Supply &amp; Utilization'!O13*Assumptions!$D$75/1000*O6</f>
        <v>-127.34999471360824</v>
      </c>
      <c r="P29" s="28">
        <f>-'Supply &amp; Utilization'!P13*Assumptions!$D$75/1000*P6</f>
        <v>-134.33695420415472</v>
      </c>
      <c r="Q29" s="28">
        <f>-'Supply &amp; Utilization'!Q13*Assumptions!$D$75/1000*Q6</f>
        <v>-141.00110132191813</v>
      </c>
      <c r="R29" s="28">
        <f>-'Supply &amp; Utilization'!R13*Assumptions!$D$75/1000*R6</f>
        <v>-147.47525261386414</v>
      </c>
    </row>
    <row r="30" spans="1:18" x14ac:dyDescent="0.3">
      <c r="A30" t="s">
        <v>171</v>
      </c>
      <c r="C30" s="28">
        <f>-'Supply &amp; Utilization'!C20*Assumptions!$D$76/1000*C6</f>
        <v>-8.6975098429219209</v>
      </c>
      <c r="D30" s="28">
        <f>-'Supply &amp; Utilization'!D20*Assumptions!$D$76/1000*D6</f>
        <v>-22.870396761116268</v>
      </c>
      <c r="E30" s="28">
        <f>-'Supply &amp; Utilization'!E20*Assumptions!$D$76/1000*E6</f>
        <v>-57.673133844612401</v>
      </c>
      <c r="F30" s="28">
        <f>-'Supply &amp; Utilization'!F20*Assumptions!$D$76/1000*F6</f>
        <v>-100.79324571092411</v>
      </c>
      <c r="G30" s="28">
        <f>-'Supply &amp; Utilization'!G20*Assumptions!$D$76/1000*G6</f>
        <v>-147.49849333064975</v>
      </c>
      <c r="H30" s="28">
        <f>-'Supply &amp; Utilization'!H20*Assumptions!$D$76/1000*H6</f>
        <v>-197.71338371581197</v>
      </c>
      <c r="I30" s="28">
        <f>-'Supply &amp; Utilization'!I20*Assumptions!$D$76/1000*I6</f>
        <v>-250.8563048285518</v>
      </c>
      <c r="J30" s="28">
        <f>-'Supply &amp; Utilization'!J20*Assumptions!$D$76/1000*J6</f>
        <v>-306.01355611187461</v>
      </c>
      <c r="K30" s="28">
        <f>-'Supply &amp; Utilization'!K20*Assumptions!$D$76/1000*K6</f>
        <v>-362.06407647444513</v>
      </c>
      <c r="L30" s="28">
        <f>-'Supply &amp; Utilization'!L20*Assumptions!$D$76/1000*L6</f>
        <v>-417.87342079951304</v>
      </c>
      <c r="M30" s="28">
        <f>-'Supply &amp; Utilization'!M20*Assumptions!$D$76/1000*M6</f>
        <v>-472.50266200228594</v>
      </c>
      <c r="N30" s="28">
        <f>-'Supply &amp; Utilization'!N20*Assumptions!$D$76/1000*N6</f>
        <v>-524.63024640001856</v>
      </c>
      <c r="O30" s="28">
        <f>-'Supply &amp; Utilization'!O20*Assumptions!$D$76/1000*O6</f>
        <v>-574.32350557117445</v>
      </c>
      <c r="P30" s="28">
        <f>-'Supply &amp; Utilization'!P20*Assumptions!$D$76/1000*P6</f>
        <v>-621.93034353775329</v>
      </c>
      <c r="Q30" s="28">
        <f>-'Supply &amp; Utilization'!Q20*Assumptions!$D$76/1000*Q6</f>
        <v>-667.8999536301385</v>
      </c>
      <c r="R30" s="28">
        <f>-'Supply &amp; Utilization'!R20*Assumptions!$D$76/1000*R6</f>
        <v>-712.79705430034335</v>
      </c>
    </row>
    <row r="31" spans="1:18" x14ac:dyDescent="0.3">
      <c r="A31" s="2" t="s">
        <v>172</v>
      </c>
      <c r="C31" s="28">
        <f>C28+C29+C30</f>
        <v>-47.42462200350559</v>
      </c>
      <c r="D31" s="28">
        <f t="shared" ref="D31:R31" si="6">D28+D29+D30</f>
        <v>-74.054344712494469</v>
      </c>
      <c r="E31" s="28">
        <f t="shared" si="6"/>
        <v>-121.87935212862286</v>
      </c>
      <c r="F31" s="28">
        <f t="shared" si="6"/>
        <v>-173.00488671308716</v>
      </c>
      <c r="G31" s="28">
        <f t="shared" si="6"/>
        <v>-228.08534872251687</v>
      </c>
      <c r="H31" s="28">
        <f t="shared" si="6"/>
        <v>-287.05420364265507</v>
      </c>
      <c r="I31" s="28">
        <f t="shared" si="6"/>
        <v>-349.1273618185852</v>
      </c>
      <c r="J31" s="28">
        <f t="shared" si="6"/>
        <v>-413.15361000750516</v>
      </c>
      <c r="K31" s="28">
        <f t="shared" si="6"/>
        <v>-477.77573238149478</v>
      </c>
      <c r="L31" s="28">
        <f t="shared" si="6"/>
        <v>-541.66637331224717</v>
      </c>
      <c r="M31" s="28">
        <f t="shared" si="6"/>
        <v>-603.77136207486842</v>
      </c>
      <c r="N31" s="28">
        <f t="shared" si="6"/>
        <v>-662.5538726857377</v>
      </c>
      <c r="O31" s="28">
        <f t="shared" si="6"/>
        <v>-718.23316136208496</v>
      </c>
      <c r="P31" s="28">
        <f t="shared" si="6"/>
        <v>-771.33045066239242</v>
      </c>
      <c r="Q31" s="28">
        <f t="shared" si="6"/>
        <v>-822.45282746799649</v>
      </c>
      <c r="R31" s="28">
        <f t="shared" si="6"/>
        <v>-872.32021574580119</v>
      </c>
    </row>
    <row r="32" spans="1:18" x14ac:dyDescent="0.3"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1:18" x14ac:dyDescent="0.3">
      <c r="A33" s="2" t="s">
        <v>173</v>
      </c>
      <c r="C33" s="28">
        <f>C25+C31</f>
        <v>275.12090092973295</v>
      </c>
      <c r="D33" s="28">
        <f t="shared" ref="D33:R33" si="7">D25+D31</f>
        <v>205.38551018606415</v>
      </c>
      <c r="E33" s="28">
        <f t="shared" si="7"/>
        <v>94.706081923627181</v>
      </c>
      <c r="F33" s="28">
        <f t="shared" si="7"/>
        <v>25.426316763655791</v>
      </c>
      <c r="G33" s="28">
        <f t="shared" si="7"/>
        <v>-52.141068736132496</v>
      </c>
      <c r="H33" s="28">
        <f t="shared" si="7"/>
        <v>-139.63604387981809</v>
      </c>
      <c r="I33" s="28">
        <f t="shared" si="7"/>
        <v>-219.853313840385</v>
      </c>
      <c r="J33" s="28">
        <f t="shared" si="7"/>
        <v>-294.92905838791876</v>
      </c>
      <c r="K33" s="28">
        <f t="shared" si="7"/>
        <v>-369.4873563754258</v>
      </c>
      <c r="L33" s="28">
        <f t="shared" si="7"/>
        <v>-441.25039592463662</v>
      </c>
      <c r="M33" s="28">
        <f t="shared" si="7"/>
        <v>-514.96026562013594</v>
      </c>
      <c r="N33" s="28">
        <f t="shared" si="7"/>
        <v>-588.88888495172114</v>
      </c>
      <c r="O33" s="28">
        <f t="shared" si="7"/>
        <v>-656.21269165128808</v>
      </c>
      <c r="P33" s="28">
        <f t="shared" si="7"/>
        <v>-717.85341828004982</v>
      </c>
      <c r="Q33" s="28">
        <f t="shared" si="7"/>
        <v>-775.0972856194611</v>
      </c>
      <c r="R33" s="28">
        <f t="shared" si="7"/>
        <v>-828.31990893852344</v>
      </c>
    </row>
    <row r="34" spans="1:18" x14ac:dyDescent="0.3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 spans="1:18" x14ac:dyDescent="0.3">
      <c r="A35" s="2" t="s">
        <v>185</v>
      </c>
      <c r="C35" s="28">
        <f>0</f>
        <v>0</v>
      </c>
      <c r="D35" s="28">
        <f>-MAX('Supply &amp; Utilization'!D13-'Supply &amp; Utilization'!C13,0)*Assumptions!$C$75/1000*D6</f>
        <v>-73.18526963557207</v>
      </c>
      <c r="E35" s="28">
        <f>-MAX('Supply &amp; Utilization'!E13-'Supply &amp; Utilization'!D13,0)*Assumptions!$C$75/1000*E6</f>
        <v>-76.897511792816545</v>
      </c>
      <c r="F35" s="28">
        <f>-MAX('Supply &amp; Utilization'!F13-'Supply &amp; Utilization'!E13,0)*Assumptions!$C$75/1000*F6</f>
        <v>-40.317298284369649</v>
      </c>
      <c r="G35" s="28">
        <f>-MAX('Supply &amp; Utilization'!G13-'Supply &amp; Utilization'!F13,0)*Assumptions!$C$75/1000*G6</f>
        <v>-42.142426665899926</v>
      </c>
      <c r="H35" s="28">
        <f>-MAX('Supply &amp; Utilization'!H13-'Supply &amp; Utilization'!G13,0)*Assumptions!$C$75/1000*H6</f>
        <v>-43.936307492402655</v>
      </c>
      <c r="I35" s="28">
        <f>-MAX('Supply &amp; Utilization'!I13-'Supply &amp; Utilization'!H13,0)*Assumptions!$C$75/1000*I6</f>
        <v>-45.610237241554877</v>
      </c>
      <c r="J35" s="28">
        <f>-MAX('Supply &amp; Utilization'!J13-'Supply &amp; Utilization'!I13,0)*Assumptions!$C$75/1000*J6</f>
        <v>-47.079008632596093</v>
      </c>
      <c r="K35" s="28">
        <f>-MAX('Supply &amp; Utilization'!K13-'Supply &amp; Utilization'!J13,0)*Assumptions!$C$75/1000*K6</f>
        <v>-48.275210196592681</v>
      </c>
      <c r="L35" s="28">
        <f>-MAX('Supply &amp; Utilization'!L13-'Supply &amp; Utilization'!K13,0)*Assumptions!$C$75/1000*L6</f>
        <v>-49.161578917589765</v>
      </c>
      <c r="M35" s="28">
        <f>-MAX('Supply &amp; Utilization'!M13-'Supply &amp; Utilization'!L13,0)*Assumptions!$C$75/1000*M6</f>
        <v>-49.737122316030103</v>
      </c>
      <c r="N35" s="28">
        <f>-MAX('Supply &amp; Utilization'!N13-'Supply &amp; Utilization'!M13,0)*Assumptions!$C$75/1000*N6</f>
        <v>-49.964785371430345</v>
      </c>
      <c r="O35" s="28">
        <f>-MAX('Supply &amp; Utilization'!O13-'Supply &amp; Utilization'!N13,0)*Assumptions!$C$75/1000*O6</f>
        <v>-49.941174397493427</v>
      </c>
      <c r="P35" s="28">
        <f>-MAX('Supply &amp; Utilization'!P13-'Supply &amp; Utilization'!O13,0)*Assumptions!$C$75/1000*P6</f>
        <v>-49.754427483020265</v>
      </c>
      <c r="Q35" s="28">
        <f>-MAX('Supply &amp; Utilization'!Q13-'Supply &amp; Utilization'!P13,0)*Assumptions!$C$75/1000*Q6</f>
        <v>-49.47407063926952</v>
      </c>
      <c r="R35" s="28">
        <f>-MAX('Supply &amp; Utilization'!R13-'Supply &amp; Utilization'!Q13,0)*Assumptions!$C$75/1000*R6</f>
        <v>-49.158417537954712</v>
      </c>
    </row>
    <row r="36" spans="1:18" x14ac:dyDescent="0.3">
      <c r="A36" t="s">
        <v>186</v>
      </c>
      <c r="C36" s="28">
        <f>0</f>
        <v>0</v>
      </c>
      <c r="D36" s="28">
        <f>-MAX('Supply &amp; Utilization'!D20-'Supply &amp; Utilization'!C20,0)*Assumptions!$C$76/1000*D6</f>
        <v>-36.592634817786035</v>
      </c>
      <c r="E36" s="28">
        <f>-MAX('Supply &amp; Utilization'!E20-'Supply &amp; Utilization'!D20,0)*Assumptions!$C$76/1000*E6</f>
        <v>-89.713763758285964</v>
      </c>
      <c r="F36" s="28">
        <f>-MAX('Supply &amp; Utilization'!F20-'Supply &amp; Utilization'!E20,0)*Assumptions!$C$76/1000*F6</f>
        <v>-107.51279542498573</v>
      </c>
      <c r="G36" s="28">
        <f>-MAX('Supply &amp; Utilization'!G20-'Supply &amp; Utilization'!F20,0)*Assumptions!$C$76/1000*G6</f>
        <v>-112.3798044423998</v>
      </c>
      <c r="H36" s="28">
        <f>-MAX('Supply &amp; Utilization'!H20-'Supply &amp; Utilization'!G20,0)*Assumptions!$C$76/1000*H6</f>
        <v>-117.16348664640708</v>
      </c>
      <c r="I36" s="28">
        <f>-MAX('Supply &amp; Utilization'!I20-'Supply &amp; Utilization'!H20,0)*Assumptions!$C$76/1000*I6</f>
        <v>-121.627299310813</v>
      </c>
      <c r="J36" s="28">
        <f>-MAX('Supply &amp; Utilization'!J20-'Supply &amp; Utilization'!I20,0)*Assumptions!$C$76/1000*J6</f>
        <v>-125.54402302025625</v>
      </c>
      <c r="K36" s="28">
        <f>-MAX('Supply &amp; Utilization'!K20-'Supply &amp; Utilization'!J20,0)*Assumptions!$C$76/1000*K6</f>
        <v>-128.73389385758048</v>
      </c>
      <c r="L36" s="28">
        <f>-MAX('Supply &amp; Utilization'!L20-'Supply &amp; Utilization'!K20,0)*Assumptions!$C$76/1000*L6</f>
        <v>-131.09754378023939</v>
      </c>
      <c r="M36" s="28">
        <f>-MAX('Supply &amp; Utilization'!M20-'Supply &amp; Utilization'!L20,0)*Assumptions!$C$76/1000*M6</f>
        <v>-132.63232617608028</v>
      </c>
      <c r="N36" s="28">
        <f>-MAX('Supply &amp; Utilization'!N20-'Supply &amp; Utilization'!M20,0)*Assumptions!$C$76/1000*N6</f>
        <v>-133.23942765714759</v>
      </c>
      <c r="O36" s="28">
        <f>-MAX('Supply &amp; Utilization'!O20-'Supply &amp; Utilization'!N20,0)*Assumptions!$C$76/1000*O6</f>
        <v>-133.17646505998249</v>
      </c>
      <c r="P36" s="28">
        <f>-MAX('Supply &amp; Utilization'!P20-'Supply &amp; Utilization'!O20,0)*Assumptions!$C$76/1000*P6</f>
        <v>-132.67847328805405</v>
      </c>
      <c r="Q36" s="28">
        <f>-MAX('Supply &amp; Utilization'!Q20-'Supply &amp; Utilization'!P20,0)*Assumptions!$C$76/1000*Q6</f>
        <v>-131.93085503805204</v>
      </c>
      <c r="R36" s="28">
        <f>-MAX('Supply &amp; Utilization'!R20-'Supply &amp; Utilization'!Q20,0)*Assumptions!$C$76/1000*R6</f>
        <v>-131.08911343454591</v>
      </c>
    </row>
    <row r="37" spans="1:18" x14ac:dyDescent="0.3">
      <c r="A37" s="2" t="s">
        <v>176</v>
      </c>
      <c r="C37" s="28">
        <f>C35+C36</f>
        <v>0</v>
      </c>
      <c r="D37" s="28">
        <f>D35+D36</f>
        <v>-109.7779044533581</v>
      </c>
      <c r="E37" s="28">
        <f t="shared" ref="E37:R37" si="8">E35+E36</f>
        <v>-166.61127555110249</v>
      </c>
      <c r="F37" s="28">
        <f t="shared" si="8"/>
        <v>-147.83009370935537</v>
      </c>
      <c r="G37" s="28">
        <f t="shared" si="8"/>
        <v>-154.52223110829974</v>
      </c>
      <c r="H37" s="28">
        <f t="shared" si="8"/>
        <v>-161.09979413880973</v>
      </c>
      <c r="I37" s="28">
        <f t="shared" si="8"/>
        <v>-167.23753655236789</v>
      </c>
      <c r="J37" s="28">
        <f t="shared" si="8"/>
        <v>-172.62303165285235</v>
      </c>
      <c r="K37" s="28">
        <f t="shared" si="8"/>
        <v>-177.00910405417318</v>
      </c>
      <c r="L37" s="28">
        <f t="shared" si="8"/>
        <v>-180.25912269782916</v>
      </c>
      <c r="M37" s="28">
        <f t="shared" si="8"/>
        <v>-182.36944849211039</v>
      </c>
      <c r="N37" s="28">
        <f t="shared" si="8"/>
        <v>-183.20421302857793</v>
      </c>
      <c r="O37" s="28">
        <f t="shared" si="8"/>
        <v>-183.11763945747592</v>
      </c>
      <c r="P37" s="28">
        <f t="shared" si="8"/>
        <v>-182.43290077107432</v>
      </c>
      <c r="Q37" s="28">
        <f t="shared" si="8"/>
        <v>-181.40492567732156</v>
      </c>
      <c r="R37" s="28">
        <f t="shared" si="8"/>
        <v>-180.24753097250061</v>
      </c>
    </row>
    <row r="38" spans="1:18" x14ac:dyDescent="0.3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x14ac:dyDescent="0.3">
      <c r="A39" s="2" t="s">
        <v>177</v>
      </c>
      <c r="C39" s="28">
        <f>-MAX(C33,0)*Assumptions!$C$24</f>
        <v>-68.780225232433239</v>
      </c>
      <c r="D39" s="28">
        <f>-MAX(D33,0)*Assumptions!$C$24</f>
        <v>-51.346377546516038</v>
      </c>
      <c r="E39" s="28">
        <f>-MAX(E33,0)*Assumptions!$C$24</f>
        <v>-23.676520480906795</v>
      </c>
      <c r="F39" s="28">
        <f>-MAX(F33,0)*Assumptions!$C$24</f>
        <v>-6.3565791909139477</v>
      </c>
      <c r="G39" s="28">
        <f>-MAX(G33,0)*Assumptions!$C$24</f>
        <v>0</v>
      </c>
      <c r="H39" s="28">
        <f>-MAX(H33,0)*Assumptions!$C$24</f>
        <v>0</v>
      </c>
      <c r="I39" s="28">
        <f>-MAX(I33,0)*Assumptions!$C$24</f>
        <v>0</v>
      </c>
      <c r="J39" s="28">
        <f>-MAX(J33,0)*Assumptions!$C$24</f>
        <v>0</v>
      </c>
      <c r="K39" s="28">
        <f>-MAX(K33,0)*Assumptions!$C$24</f>
        <v>0</v>
      </c>
      <c r="L39" s="28">
        <f>-MAX(L33,0)*Assumptions!$C$24</f>
        <v>0</v>
      </c>
      <c r="M39" s="28">
        <f>-MAX(M33,0)*Assumptions!$C$24</f>
        <v>0</v>
      </c>
      <c r="N39" s="28">
        <f>-MAX(N33,0)*Assumptions!$C$24</f>
        <v>0</v>
      </c>
      <c r="O39" s="28">
        <f>-MAX(O33,0)*Assumptions!$C$24</f>
        <v>0</v>
      </c>
      <c r="P39" s="28">
        <f>-MAX(P33,0)*Assumptions!$C$24</f>
        <v>0</v>
      </c>
      <c r="Q39" s="28">
        <f>-MAX(Q33,0)*Assumptions!$C$24</f>
        <v>0</v>
      </c>
      <c r="R39" s="28">
        <f>-MAX(R33,0)*Assumptions!$C$24</f>
        <v>0</v>
      </c>
    </row>
    <row r="40" spans="1:18" x14ac:dyDescent="0.3">
      <c r="A40" t="s">
        <v>178</v>
      </c>
      <c r="C40" s="28">
        <f>-C16*Assumptions!$C$26</f>
        <v>-70.23583474590734</v>
      </c>
      <c r="D40" s="28">
        <f>-(D16-C16)*Assumptions!$C$26</f>
        <v>-13.388459312845805</v>
      </c>
      <c r="E40" s="28">
        <f>-(E16-D16)*Assumptions!$C$26</f>
        <v>-5.4796956226360862</v>
      </c>
      <c r="F40" s="28">
        <f>-(F16-E16)*Assumptions!$C$26</f>
        <v>-3.7674741496930895</v>
      </c>
      <c r="G40" s="28">
        <f>-(G16-F16)*Assumptions!$C$26</f>
        <v>-14.270762856061971</v>
      </c>
      <c r="H40" s="28">
        <f>-(H16-G16)*Assumptions!$C$26</f>
        <v>-10.800213639099184</v>
      </c>
      <c r="I40" s="28">
        <f>-(I16-H16)*Assumptions!$C$26</f>
        <v>-7.404947126759339</v>
      </c>
      <c r="J40" s="28">
        <f>-(J16-I16)*Assumptions!$C$26</f>
        <v>-4.3390628606075783</v>
      </c>
      <c r="K40" s="28">
        <f>-(K16-J16)*Assumptions!$C$26</f>
        <v>-1.7140295683017486</v>
      </c>
      <c r="L40" s="28">
        <f>-(L16-K16)*Assumptions!$C$26</f>
        <v>0.42213522015795207</v>
      </c>
      <c r="M40" s="28">
        <f>-(M16-L16)*Assumptions!$C$26</f>
        <v>3.4183498862251329</v>
      </c>
      <c r="N40" s="28">
        <f>-(N16-M16)*Assumptions!$C$26</f>
        <v>6.1678370023995743</v>
      </c>
      <c r="O40" s="28">
        <f>-(O16-N16)*Assumptions!$C$26</f>
        <v>6.543315741505376</v>
      </c>
      <c r="P40" s="28">
        <f>-(P16-O16)*Assumptions!$C$26</f>
        <v>6.5974532612151968</v>
      </c>
      <c r="Q40" s="28">
        <f>-(Q16-P16)*Assumptions!$C$26</f>
        <v>7.3298759606880708</v>
      </c>
      <c r="R40" s="28">
        <f>-(R16-Q16)*Assumptions!$C$26</f>
        <v>6.7549193317174856</v>
      </c>
    </row>
    <row r="41" spans="1:18" x14ac:dyDescent="0.3">
      <c r="A41" s="2" t="s">
        <v>179</v>
      </c>
      <c r="C41" s="28">
        <f>-Assumptions!$C$27*C6</f>
        <v>-3.479003937168768</v>
      </c>
      <c r="D41" s="28">
        <f>-Assumptions!$C$27*D6</f>
        <v>-3.6592634817786029</v>
      </c>
      <c r="E41" s="28">
        <f>-Assumptions!$C$27*E6</f>
        <v>-3.8448755896408269</v>
      </c>
      <c r="F41" s="28">
        <f>-Assumptions!$C$27*F6</f>
        <v>-4.0317298284369647</v>
      </c>
      <c r="G41" s="28">
        <f>-Assumptions!$C$27*G6</f>
        <v>-4.2142426665899926</v>
      </c>
      <c r="H41" s="28">
        <f>-Assumptions!$C$27*H6</f>
        <v>-4.3936307492402662</v>
      </c>
      <c r="I41" s="28">
        <f>-Assumptions!$C$27*I6</f>
        <v>-4.5610237241554872</v>
      </c>
      <c r="J41" s="28">
        <f>-Assumptions!$C$27*J6</f>
        <v>-4.70790086325961</v>
      </c>
      <c r="K41" s="28">
        <f>-Assumptions!$C$27*K6</f>
        <v>-4.8275210196592688</v>
      </c>
      <c r="L41" s="28">
        <f>-Assumptions!$C$27*L6</f>
        <v>-4.916157891758977</v>
      </c>
      <c r="M41" s="28">
        <f>-Assumptions!$C$27*M6</f>
        <v>-4.9737122316030105</v>
      </c>
      <c r="N41" s="28">
        <f>-Assumptions!$C$27*N6</f>
        <v>-4.9964785371430338</v>
      </c>
      <c r="O41" s="28">
        <f>-Assumptions!$C$27*O6</f>
        <v>-4.9941174397493429</v>
      </c>
      <c r="P41" s="28">
        <f>-Assumptions!$C$27*P6</f>
        <v>-4.9754427483020267</v>
      </c>
      <c r="Q41" s="28">
        <f>-Assumptions!$C$27*Q6</f>
        <v>-4.9474070639269518</v>
      </c>
      <c r="R41" s="28">
        <f>-Assumptions!$C$27*R6</f>
        <v>-4.9158417537954708</v>
      </c>
    </row>
    <row r="42" spans="1:18" x14ac:dyDescent="0.3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spans="1:18" ht="15" thickBot="1" x14ac:dyDescent="0.35">
      <c r="A43" s="24" t="s">
        <v>187</v>
      </c>
      <c r="B43" s="25"/>
      <c r="C43" s="30">
        <f>C33+C37+C39+C40+C41</f>
        <v>132.62583701422363</v>
      </c>
      <c r="D43" s="30">
        <f t="shared" ref="D43:R43" si="9">D33+D37+D39+D40+D41</f>
        <v>27.213505391565604</v>
      </c>
      <c r="E43" s="30">
        <f t="shared" si="9"/>
        <v>-104.90628532065901</v>
      </c>
      <c r="F43" s="30">
        <f t="shared" si="9"/>
        <v>-136.55956011474359</v>
      </c>
      <c r="G43" s="30">
        <f t="shared" si="9"/>
        <v>-225.14830536708419</v>
      </c>
      <c r="H43" s="30">
        <f t="shared" si="9"/>
        <v>-315.92968240696729</v>
      </c>
      <c r="I43" s="30">
        <f t="shared" si="9"/>
        <v>-399.05682124366768</v>
      </c>
      <c r="J43" s="30">
        <f t="shared" si="9"/>
        <v>-476.59905376463826</v>
      </c>
      <c r="K43" s="30">
        <f t="shared" si="9"/>
        <v>-553.03801101755994</v>
      </c>
      <c r="L43" s="30">
        <f t="shared" si="9"/>
        <v>-626.00354129406674</v>
      </c>
      <c r="M43" s="30">
        <f t="shared" si="9"/>
        <v>-698.88507645762434</v>
      </c>
      <c r="N43" s="30">
        <f t="shared" si="9"/>
        <v>-770.92173951504253</v>
      </c>
      <c r="O43" s="30">
        <f t="shared" si="9"/>
        <v>-837.78113280700791</v>
      </c>
      <c r="P43" s="30">
        <f t="shared" si="9"/>
        <v>-898.664308538211</v>
      </c>
      <c r="Q43" s="30">
        <f t="shared" si="9"/>
        <v>-954.11974240002155</v>
      </c>
      <c r="R43" s="30">
        <f t="shared" si="9"/>
        <v>-1006.728362333102</v>
      </c>
    </row>
    <row r="44" spans="1:18" ht="15" thickTop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DA01-D574-4A1F-B64C-0914821524C9}">
  <sheetPr>
    <tabColor rgb="FFFF0000"/>
  </sheetPr>
  <dimension ref="A1:R31"/>
  <sheetViews>
    <sheetView topLeftCell="C4" zoomScale="59" workbookViewId="0"/>
  </sheetViews>
  <sheetFormatPr defaultRowHeight="14.4" x14ac:dyDescent="0.3"/>
  <cols>
    <col min="1" max="1" width="46.33203125" customWidth="1"/>
    <col min="2" max="2" width="3.6640625" customWidth="1"/>
    <col min="3" max="18" width="15.6640625" customWidth="1"/>
  </cols>
  <sheetData>
    <row r="1" spans="1:18" ht="18" x14ac:dyDescent="0.35">
      <c r="A1" s="17" t="s">
        <v>188</v>
      </c>
    </row>
    <row r="2" spans="1:18" x14ac:dyDescent="0.3">
      <c r="A2" t="s">
        <v>148</v>
      </c>
    </row>
    <row r="3" spans="1:18" x14ac:dyDescent="0.3">
      <c r="C3" s="18">
        <v>2010</v>
      </c>
      <c r="D3" s="18">
        <v>2011</v>
      </c>
      <c r="E3" s="18">
        <v>2012</v>
      </c>
      <c r="F3" s="18">
        <v>2013</v>
      </c>
      <c r="G3" s="18">
        <v>2014</v>
      </c>
      <c r="H3" s="18">
        <v>2015</v>
      </c>
      <c r="I3" s="18">
        <v>2016</v>
      </c>
      <c r="J3" s="18">
        <v>2017</v>
      </c>
      <c r="K3" s="18">
        <v>2018</v>
      </c>
      <c r="L3" s="18">
        <v>2019</v>
      </c>
      <c r="M3" s="18">
        <v>2020</v>
      </c>
      <c r="N3" s="18">
        <v>2021</v>
      </c>
      <c r="O3" s="18">
        <v>2022</v>
      </c>
      <c r="P3" s="18">
        <v>2023</v>
      </c>
      <c r="Q3" s="18">
        <v>2024</v>
      </c>
      <c r="R3" s="18">
        <v>2025</v>
      </c>
    </row>
    <row r="5" spans="1:18" x14ac:dyDescent="0.3">
      <c r="A5" s="3" t="s">
        <v>189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t="s">
        <v>190</v>
      </c>
      <c r="C6" s="28">
        <f>'GE FINANCIALS — DEVELOPED MARKE'!C43</f>
        <v>96.104867652046849</v>
      </c>
      <c r="D6" s="28">
        <f>'GE FINANCIALS — DEVELOPED MARKE'!D43</f>
        <v>23.374827726040166</v>
      </c>
      <c r="E6" s="28">
        <f>'GE FINANCIALS — DEVELOPED MARKE'!E43</f>
        <v>-52.18259748819635</v>
      </c>
      <c r="F6" s="28">
        <f>'GE FINANCIALS — DEVELOPED MARKE'!F43</f>
        <v>-60.223360554270023</v>
      </c>
      <c r="G6" s="28">
        <f>'GE FINANCIALS — DEVELOPED MARKE'!G43</f>
        <v>-89.419384168751307</v>
      </c>
      <c r="H6" s="28">
        <f>'GE FINANCIALS — DEVELOPED MARKE'!H43</f>
        <v>-109.27985357184799</v>
      </c>
      <c r="I6" s="28">
        <f>'GE FINANCIALS — DEVELOPED MARKE'!I43</f>
        <v>-119.98893042846686</v>
      </c>
      <c r="J6" s="28">
        <f>'GE FINANCIALS — DEVELOPED MARKE'!J43</f>
        <v>-125.65984719204026</v>
      </c>
      <c r="K6" s="28">
        <f>'GE FINANCIALS — DEVELOPED MARKE'!K43</f>
        <v>-130.22308993481548</v>
      </c>
      <c r="L6" s="28">
        <f>'GE FINANCIALS — DEVELOPED MARKE'!L43</f>
        <v>-135.06753648774924</v>
      </c>
      <c r="M6" s="28">
        <f>'GE FINANCIALS — DEVELOPED MARKE'!M43</f>
        <v>-142.35984131169172</v>
      </c>
      <c r="N6" s="28">
        <f>'GE FINANCIALS — DEVELOPED MARKE'!N43</f>
        <v>-154.13519811624519</v>
      </c>
      <c r="O6" s="28">
        <f>'GE FINANCIALS — DEVELOPED MARKE'!O43</f>
        <v>-168.80932934079317</v>
      </c>
      <c r="P6" s="28">
        <f>'GE FINANCIALS — DEVELOPED MARKE'!P43</f>
        <v>-185.57339164941814</v>
      </c>
      <c r="Q6" s="28">
        <f>'GE FINANCIALS — DEVELOPED MARKE'!Q43</f>
        <v>-203.73491514321543</v>
      </c>
      <c r="R6" s="28">
        <f>'GE FINANCIALS — DEVELOPED MARKE'!R43</f>
        <v>-222.8135669308904</v>
      </c>
    </row>
    <row r="7" spans="1:18" x14ac:dyDescent="0.3">
      <c r="A7" t="s">
        <v>191</v>
      </c>
      <c r="C7" s="28">
        <f>'GE Financials - Emerging'!C43</f>
        <v>132.62583701422363</v>
      </c>
      <c r="D7" s="28">
        <f>'GE Financials - Emerging'!D43</f>
        <v>27.213505391565604</v>
      </c>
      <c r="E7" s="28">
        <f>'GE Financials - Emerging'!E43</f>
        <v>-104.90628532065901</v>
      </c>
      <c r="F7" s="28">
        <f>'GE Financials - Emerging'!F43</f>
        <v>-136.55956011474359</v>
      </c>
      <c r="G7" s="28">
        <f>'GE Financials - Emerging'!G43</f>
        <v>-225.14830536708419</v>
      </c>
      <c r="H7" s="28">
        <f>'GE Financials - Emerging'!H43</f>
        <v>-315.92968240696729</v>
      </c>
      <c r="I7" s="28">
        <f>'GE Financials - Emerging'!I43</f>
        <v>-399.05682124366768</v>
      </c>
      <c r="J7" s="28">
        <f>'GE Financials - Emerging'!J43</f>
        <v>-476.59905376463826</v>
      </c>
      <c r="K7" s="28">
        <f>'GE Financials - Emerging'!K43</f>
        <v>-553.03801101755994</v>
      </c>
      <c r="L7" s="28">
        <f>'GE Financials - Emerging'!L43</f>
        <v>-626.00354129406674</v>
      </c>
      <c r="M7" s="28">
        <f>'GE Financials - Emerging'!M43</f>
        <v>-698.88507645762434</v>
      </c>
      <c r="N7" s="28">
        <f>'GE Financials - Emerging'!N43</f>
        <v>-770.92173951504253</v>
      </c>
      <c r="O7" s="28">
        <f>'GE Financials - Emerging'!O43</f>
        <v>-837.78113280700791</v>
      </c>
      <c r="P7" s="28">
        <f>'GE Financials - Emerging'!P43</f>
        <v>-898.664308538211</v>
      </c>
      <c r="Q7" s="28">
        <f>'GE Financials - Emerging'!Q43</f>
        <v>-954.11974240002155</v>
      </c>
      <c r="R7" s="28">
        <f>'GE Financials - Emerging'!R43</f>
        <v>-1006.728362333102</v>
      </c>
    </row>
    <row r="8" spans="1:18" x14ac:dyDescent="0.3">
      <c r="A8" s="2" t="s">
        <v>192</v>
      </c>
      <c r="C8" s="29">
        <f>C6+C7</f>
        <v>228.73070466627047</v>
      </c>
      <c r="D8" s="29">
        <f t="shared" ref="D8:R8" si="0">D6+D7</f>
        <v>50.588333117605771</v>
      </c>
      <c r="E8" s="29">
        <f t="shared" si="0"/>
        <v>-157.08888280885537</v>
      </c>
      <c r="F8" s="29">
        <f t="shared" si="0"/>
        <v>-196.78292066901361</v>
      </c>
      <c r="G8" s="29">
        <f t="shared" si="0"/>
        <v>-314.56768953583548</v>
      </c>
      <c r="H8" s="29">
        <f t="shared" si="0"/>
        <v>-425.20953597881527</v>
      </c>
      <c r="I8" s="29">
        <f t="shared" si="0"/>
        <v>-519.04575167213454</v>
      </c>
      <c r="J8" s="29">
        <f t="shared" si="0"/>
        <v>-602.25890095667853</v>
      </c>
      <c r="K8" s="29">
        <f t="shared" si="0"/>
        <v>-683.26110095237539</v>
      </c>
      <c r="L8" s="29">
        <f t="shared" si="0"/>
        <v>-761.07107778181603</v>
      </c>
      <c r="M8" s="29">
        <f t="shared" si="0"/>
        <v>-841.24491776931609</v>
      </c>
      <c r="N8" s="29">
        <f t="shared" si="0"/>
        <v>-925.05693763128772</v>
      </c>
      <c r="O8" s="29">
        <f t="shared" si="0"/>
        <v>-1006.5904621478011</v>
      </c>
      <c r="P8" s="29">
        <f t="shared" si="0"/>
        <v>-1084.2377001876291</v>
      </c>
      <c r="Q8" s="29">
        <f t="shared" si="0"/>
        <v>-1157.854657543237</v>
      </c>
      <c r="R8" s="29">
        <f t="shared" si="0"/>
        <v>-1229.5419292639924</v>
      </c>
    </row>
    <row r="10" spans="1:18" x14ac:dyDescent="0.3">
      <c r="A10" s="3" t="s">
        <v>193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t="s">
        <v>194</v>
      </c>
      <c r="C11" s="31">
        <f>C3-2010</f>
        <v>0</v>
      </c>
      <c r="D11" s="31">
        <f t="shared" ref="D11:R11" si="1">D3-2010</f>
        <v>1</v>
      </c>
      <c r="E11" s="31">
        <f t="shared" si="1"/>
        <v>2</v>
      </c>
      <c r="F11" s="31">
        <f t="shared" si="1"/>
        <v>3</v>
      </c>
      <c r="G11" s="31">
        <f t="shared" si="1"/>
        <v>4</v>
      </c>
      <c r="H11" s="31">
        <f t="shared" si="1"/>
        <v>5</v>
      </c>
      <c r="I11" s="31">
        <f t="shared" si="1"/>
        <v>6</v>
      </c>
      <c r="J11" s="31">
        <f t="shared" si="1"/>
        <v>7</v>
      </c>
      <c r="K11" s="31">
        <f t="shared" si="1"/>
        <v>8</v>
      </c>
      <c r="L11" s="31">
        <f t="shared" si="1"/>
        <v>9</v>
      </c>
      <c r="M11" s="31">
        <f t="shared" si="1"/>
        <v>10</v>
      </c>
      <c r="N11" s="31">
        <f t="shared" si="1"/>
        <v>11</v>
      </c>
      <c r="O11" s="31">
        <f t="shared" si="1"/>
        <v>12</v>
      </c>
      <c r="P11" s="31">
        <f t="shared" si="1"/>
        <v>13</v>
      </c>
      <c r="Q11" s="31">
        <f t="shared" si="1"/>
        <v>14</v>
      </c>
      <c r="R11" s="31">
        <f t="shared" si="1"/>
        <v>15</v>
      </c>
    </row>
    <row r="12" spans="1:18" x14ac:dyDescent="0.3">
      <c r="A12" t="s">
        <v>195</v>
      </c>
      <c r="C12" s="32">
        <f>1/(1+Assumptions!$C$25)^C11</f>
        <v>1</v>
      </c>
      <c r="D12" s="32">
        <f>1/(1+Assumptions!$C$25)^D11</f>
        <v>0.90909090909090906</v>
      </c>
      <c r="E12" s="32">
        <f>1/(1+Assumptions!$C$25)^E11</f>
        <v>0.82644628099173545</v>
      </c>
      <c r="F12" s="32">
        <f>1/(1+Assumptions!$C$25)^F11</f>
        <v>0.75131480090157754</v>
      </c>
      <c r="G12" s="32">
        <f>1/(1+Assumptions!$C$25)^G11</f>
        <v>0.68301345536507052</v>
      </c>
      <c r="H12" s="32">
        <f>1/(1+Assumptions!$C$25)^H11</f>
        <v>0.62092132305915493</v>
      </c>
      <c r="I12" s="32">
        <f>1/(1+Assumptions!$C$25)^I11</f>
        <v>0.56447393005377722</v>
      </c>
      <c r="J12" s="32">
        <f>1/(1+Assumptions!$C$25)^J11</f>
        <v>0.51315811823070645</v>
      </c>
      <c r="K12" s="32">
        <f>1/(1+Assumptions!$C$25)^K11</f>
        <v>0.46650738020973315</v>
      </c>
      <c r="L12" s="32">
        <f>1/(1+Assumptions!$C$25)^L11</f>
        <v>0.42409761837248466</v>
      </c>
      <c r="M12" s="32">
        <f>1/(1+Assumptions!$C$25)^M11</f>
        <v>0.38554328942953148</v>
      </c>
      <c r="N12" s="32">
        <f>1/(1+Assumptions!$C$25)^N11</f>
        <v>0.3504938994813922</v>
      </c>
      <c r="O12" s="32">
        <f>1/(1+Assumptions!$C$25)^O11</f>
        <v>0.31863081771035656</v>
      </c>
      <c r="P12" s="32">
        <f>1/(1+Assumptions!$C$25)^P11</f>
        <v>0.28966437973668779</v>
      </c>
      <c r="Q12" s="32">
        <f>1/(1+Assumptions!$C$25)^Q11</f>
        <v>0.26333125430607973</v>
      </c>
      <c r="R12" s="32">
        <f>1/(1+Assumptions!$C$25)^R11</f>
        <v>0.23939204936916339</v>
      </c>
    </row>
    <row r="13" spans="1:18" x14ac:dyDescent="0.3">
      <c r="A13" t="s">
        <v>196</v>
      </c>
      <c r="C13" s="28">
        <f>C8*C12</f>
        <v>228.73070466627047</v>
      </c>
      <c r="D13" s="28">
        <f t="shared" ref="D13:R13" si="2">D8*D12</f>
        <v>45.989393743277972</v>
      </c>
      <c r="E13" s="28">
        <f t="shared" si="2"/>
        <v>-129.82552298252509</v>
      </c>
      <c r="F13" s="28">
        <f t="shared" si="2"/>
        <v>-147.84592086327089</v>
      </c>
      <c r="G13" s="28">
        <f t="shared" si="2"/>
        <v>-214.85396457607774</v>
      </c>
      <c r="H13" s="28">
        <f t="shared" si="2"/>
        <v>-264.02166765733534</v>
      </c>
      <c r="I13" s="28">
        <f t="shared" si="2"/>
        <v>-292.98779532408668</v>
      </c>
      <c r="J13" s="28">
        <f t="shared" si="2"/>
        <v>-309.05404430262257</v>
      </c>
      <c r="K13" s="28">
        <f t="shared" si="2"/>
        <v>-318.74634620451064</v>
      </c>
      <c r="L13" s="28">
        <f t="shared" si="2"/>
        <v>-322.76843149944818</v>
      </c>
      <c r="M13" s="28">
        <f t="shared" si="2"/>
        <v>-324.33633281265782</v>
      </c>
      <c r="N13" s="28">
        <f t="shared" si="2"/>
        <v>-324.22681331270508</v>
      </c>
      <c r="O13" s="28">
        <f t="shared" si="2"/>
        <v>-320.73074205359956</v>
      </c>
      <c r="P13" s="28">
        <f t="shared" si="2"/>
        <v>-314.06504091198246</v>
      </c>
      <c r="Q13" s="28">
        <f t="shared" si="2"/>
        <v>-304.89931927499697</v>
      </c>
      <c r="R13" s="28">
        <f t="shared" si="2"/>
        <v>-294.34256223182206</v>
      </c>
    </row>
    <row r="14" spans="1:18" x14ac:dyDescent="0.3">
      <c r="A14" s="2" t="s">
        <v>197</v>
      </c>
      <c r="C14" s="28">
        <f>C13</f>
        <v>228.73070466627047</v>
      </c>
      <c r="D14" s="28">
        <f>C14+D13</f>
        <v>274.72009840954843</v>
      </c>
      <c r="E14" s="28">
        <f t="shared" ref="E14:R14" si="3">D14+E13</f>
        <v>144.89457542702334</v>
      </c>
      <c r="F14" s="28">
        <f t="shared" si="3"/>
        <v>-2.95134543624755</v>
      </c>
      <c r="G14" s="28">
        <f t="shared" si="3"/>
        <v>-217.80531001232529</v>
      </c>
      <c r="H14" s="28">
        <f t="shared" si="3"/>
        <v>-481.82697766966066</v>
      </c>
      <c r="I14" s="28">
        <f t="shared" si="3"/>
        <v>-774.81477299374728</v>
      </c>
      <c r="J14" s="28">
        <f t="shared" si="3"/>
        <v>-1083.8688172963698</v>
      </c>
      <c r="K14" s="28">
        <f t="shared" si="3"/>
        <v>-1402.6151635008805</v>
      </c>
      <c r="L14" s="28">
        <f t="shared" si="3"/>
        <v>-1725.3835950003286</v>
      </c>
      <c r="M14" s="28">
        <f t="shared" si="3"/>
        <v>-2049.7199278129865</v>
      </c>
      <c r="N14" s="28">
        <f t="shared" si="3"/>
        <v>-2373.9467411256915</v>
      </c>
      <c r="O14" s="28">
        <f t="shared" si="3"/>
        <v>-2694.6774831792909</v>
      </c>
      <c r="P14" s="28">
        <f t="shared" si="3"/>
        <v>-3008.7425240912735</v>
      </c>
      <c r="Q14" s="28">
        <f t="shared" si="3"/>
        <v>-3313.6418433662702</v>
      </c>
      <c r="R14" s="28">
        <f t="shared" si="3"/>
        <v>-3607.9844055980921</v>
      </c>
    </row>
    <row r="16" spans="1:18" ht="15.6" x14ac:dyDescent="0.3">
      <c r="A16" s="34" t="s">
        <v>198</v>
      </c>
      <c r="B16" s="33"/>
      <c r="C16" s="33"/>
      <c r="D16" s="33"/>
    </row>
    <row r="18" spans="1:7" ht="18" x14ac:dyDescent="0.35">
      <c r="A18" s="35" t="s">
        <v>199</v>
      </c>
      <c r="C18" s="36">
        <f>R14</f>
        <v>-3607.9844055980921</v>
      </c>
    </row>
    <row r="20" spans="1:7" x14ac:dyDescent="0.3">
      <c r="A20" s="3" t="s">
        <v>200</v>
      </c>
      <c r="B20" s="4"/>
      <c r="C20" s="4"/>
      <c r="D20" s="4"/>
    </row>
    <row r="21" spans="1:7" x14ac:dyDescent="0.3">
      <c r="A21" t="s">
        <v>201</v>
      </c>
      <c r="C21" s="27">
        <f>'GE FINANCIALS — DEVELOPED MARKE'!C16+'GE Financials - Emerging'!C16</f>
        <v>2422.6187500000001</v>
      </c>
    </row>
    <row r="22" spans="1:7" x14ac:dyDescent="0.3">
      <c r="A22" t="s">
        <v>202</v>
      </c>
      <c r="C22" s="27">
        <f>'GE FINANCIALS — DEVELOPED MARKE'!R16+'GE Financials - Emerging'!R16</f>
        <v>2298.6889699278449</v>
      </c>
    </row>
    <row r="23" spans="1:7" x14ac:dyDescent="0.3">
      <c r="A23" t="s">
        <v>203</v>
      </c>
      <c r="C23" s="10">
        <f>(C22/C21)^(1/15)-1</f>
        <v>-3.4945555016714369E-3</v>
      </c>
      <c r="G23" t="s">
        <v>212</v>
      </c>
    </row>
    <row r="24" spans="1:7" x14ac:dyDescent="0.3">
      <c r="A24" t="s">
        <v>204</v>
      </c>
      <c r="C24" s="10">
        <f>MAX('Supply &amp; Utilization'!C36:R36)</f>
        <v>0.98093700440528642</v>
      </c>
      <c r="G24" s="39" t="s">
        <v>213</v>
      </c>
    </row>
    <row r="25" spans="1:7" x14ac:dyDescent="0.3">
      <c r="A25" t="s">
        <v>205</v>
      </c>
      <c r="C25" s="10">
        <f>MIN('Supply &amp; Utilization'!C36:R36)</f>
        <v>0.329463033052242</v>
      </c>
      <c r="G25" t="s">
        <v>214</v>
      </c>
    </row>
    <row r="26" spans="1:7" x14ac:dyDescent="0.3">
      <c r="A26" t="s">
        <v>206</v>
      </c>
      <c r="C26" s="27">
        <f>SUM(C8:R8)</f>
        <v>-9624.4934271149123</v>
      </c>
    </row>
    <row r="28" spans="1:7" x14ac:dyDescent="0.3">
      <c r="A28" s="3" t="s">
        <v>207</v>
      </c>
      <c r="B28" s="4"/>
      <c r="C28" s="4"/>
      <c r="D28" s="4"/>
    </row>
    <row r="29" spans="1:7" x14ac:dyDescent="0.3">
      <c r="A29" t="s">
        <v>208</v>
      </c>
      <c r="C29" s="27">
        <f>SUM('GE FINANCIALS — DEVELOPED MARKE'!C13:R13)+SUM('GE Financials - Emerging'!C13:R13)</f>
        <v>11245.715815352098</v>
      </c>
    </row>
    <row r="30" spans="1:7" x14ac:dyDescent="0.3">
      <c r="A30" t="s">
        <v>209</v>
      </c>
      <c r="C30" s="27">
        <f>SUM('GE FINANCIALS — DEVELOPED MARKE'!C14:R14)+SUM('GE Financials - Emerging'!C14:R14)</f>
        <v>18228.314052243375</v>
      </c>
    </row>
    <row r="31" spans="1:7" x14ac:dyDescent="0.3">
      <c r="A31" t="s">
        <v>210</v>
      </c>
      <c r="C31" s="27">
        <f>SUM('GE FINANCIALS — DEVELOPED MARKE'!C15:R15)+SUM('GE Financials - Emerging'!C15:R15)</f>
        <v>16685.1933237144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Demand - Developed</vt:lpstr>
      <vt:lpstr>Demand - Emerging</vt:lpstr>
      <vt:lpstr>Supply &amp; Utilization</vt:lpstr>
      <vt:lpstr>GE FINANCIALS — DEVELOPED MARKE</vt:lpstr>
      <vt:lpstr>GE Financials - Emerging</vt:lpstr>
      <vt:lpstr>NPV &amp;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Young Kim</dc:creator>
  <cp:keywords/>
  <dc:description/>
  <cp:lastModifiedBy>Yonathan Kidanemariam</cp:lastModifiedBy>
  <cp:revision/>
  <dcterms:created xsi:type="dcterms:W3CDTF">2026-03-27T09:47:54Z</dcterms:created>
  <dcterms:modified xsi:type="dcterms:W3CDTF">2026-03-28T13:45:44Z</dcterms:modified>
  <cp:category/>
  <cp:contentStatus/>
</cp:coreProperties>
</file>